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1925" tabRatio="740" firstSheet="3" activeTab="5"/>
  </bookViews>
  <sheets>
    <sheet name="MxSim.MultiPhy多物理场耦合产品基线" sheetId="8" state="hidden" r:id="rId1"/>
    <sheet name="MxSim.Acoustic-声学仿真产品基线" sheetId="10" state="hidden" r:id="rId2"/>
    <sheet name="MxSim.Emag-电磁场产品基线" sheetId="11" state="hidden" r:id="rId3"/>
    <sheet name="版本历史记录" sheetId="23" r:id="rId4"/>
    <sheet name="产品工作难度评估" sheetId="22" r:id="rId5"/>
    <sheet name="2026Q1" sheetId="17" r:id="rId6"/>
    <sheet name="基线总计月份" sheetId="24" r:id="rId7"/>
    <sheet name="每月复核总表" sheetId="25" r:id="rId8"/>
    <sheet name="单人工作天数" sheetId="26" r:id="rId9"/>
    <sheet name="人工测算表" sheetId="15" state="hidden" r:id="rId10"/>
    <sheet name="项目预算表" sheetId="16" state="hidden" r:id="rId11"/>
    <sheet name="个人人天统计" sheetId="20" state="hidden" r:id="rId12"/>
  </sheets>
  <externalReferences>
    <externalReference r:id="rId13"/>
    <externalReference r:id="rId14"/>
    <externalReference r:id="rId15"/>
  </externalReferences>
  <definedNames>
    <definedName name="_xlnm._FilterDatabase" localSheetId="0" hidden="1">MxSim.MultiPhy多物理场耦合产品基线!$H$1:$H$154</definedName>
    <definedName name="_xlnm._FilterDatabase" localSheetId="1" hidden="1">'MxSim.Acoustic-声学仿真产品基线'!$H$1:$H$63</definedName>
    <definedName name="_xlnm._FilterDatabase" localSheetId="2" hidden="1">'MxSim.Emag-电磁场产品基线'!$H$1:$H$207</definedName>
    <definedName name="_xlnm._FilterDatabase" localSheetId="5" hidden="1">'2026Q1'!$A$6:$AT$166</definedName>
    <definedName name="xldm">[3]字典代码表!$C$2:$D$7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sushuang</author>
    <author>dell</author>
  </authors>
  <commentList>
    <comment ref="C5" authorId="0">
      <text>
        <r>
          <rPr>
            <b/>
            <sz val="9"/>
            <rFont val="宋体"/>
            <charset val="134"/>
          </rPr>
          <t>sushuang:</t>
        </r>
        <r>
          <rPr>
            <sz val="9"/>
            <rFont val="宋体"/>
            <charset val="134"/>
          </rPr>
          <t xml:space="preserve">
请明确是否为产品需求，为产品需求必须在主分支上，项目临时独有共能为项目功能</t>
        </r>
      </text>
    </comment>
    <comment ref="D5" authorId="0">
      <text>
        <r>
          <rPr>
            <sz val="9"/>
            <rFont val="宋体"/>
            <charset val="134"/>
          </rPr>
          <t>是否为客户需求，如果是，请写明是那个客户（项目），如果没有客户需求，就写自研，如果是公司产品界面功能开发，请写明来自于具体的产品，如：显式动力学产品平台——自研</t>
        </r>
      </text>
    </comment>
    <comment ref="E5" authorId="0">
      <text>
        <r>
          <rPr>
            <sz val="9"/>
            <rFont val="宋体"/>
            <charset val="134"/>
          </rPr>
          <t>模块</t>
        </r>
      </text>
    </comment>
    <comment ref="G5" authorId="1">
      <text>
        <r>
          <rPr>
            <sz val="6"/>
            <rFont val="宋体"/>
            <charset val="134"/>
          </rPr>
          <t>写清楚当前已有的功能基线</t>
        </r>
      </text>
    </comment>
    <comment ref="H5" authorId="1">
      <text>
        <r>
          <rPr>
            <sz val="6"/>
            <rFont val="宋体"/>
            <charset val="134"/>
          </rPr>
          <t>（包含已有功能）</t>
        </r>
      </text>
    </comment>
    <comment ref="I5" authorId="1">
      <text>
        <r>
          <rPr>
            <sz val="6"/>
            <rFont val="宋体"/>
            <charset val="134"/>
          </rPr>
          <t>（如有可能，尽量定量指标描述）</t>
        </r>
      </text>
    </comment>
    <comment ref="K5" authorId="1">
      <text>
        <r>
          <rPr>
            <sz val="6"/>
            <rFont val="宋体"/>
            <charset val="134"/>
          </rPr>
          <t>（具体到模块名，可为多个软件）</t>
        </r>
      </text>
    </comment>
    <comment ref="O5" authorId="1">
      <text>
        <r>
          <rPr>
            <sz val="9"/>
            <rFont val="宋体"/>
            <charset val="134"/>
          </rPr>
          <t>（</t>
        </r>
        <r>
          <rPr>
            <sz val="6"/>
            <rFont val="宋体"/>
            <charset val="134"/>
          </rPr>
          <t>7级为基本满足日常使用需求，9级为成熟完全满足工程应用需求）需要指出功能指标、功能差距</t>
        </r>
      </text>
    </comment>
    <comment ref="W5" authorId="1">
      <text>
        <r>
          <rPr>
            <sz val="6"/>
            <rFont val="宋体"/>
            <charset val="134"/>
          </rPr>
          <t>具体到天</t>
        </r>
      </text>
    </comment>
  </commentList>
</comments>
</file>

<file path=xl/comments2.xml><?xml version="1.0" encoding="utf-8"?>
<comments xmlns="http://schemas.openxmlformats.org/spreadsheetml/2006/main">
  <authors>
    <author>sushuang</author>
  </authors>
  <commentList>
    <comment ref="E2" authorId="0">
      <text>
        <r>
          <rPr>
            <sz val="9"/>
            <rFont val="宋体"/>
            <charset val="134"/>
          </rPr>
          <t>取基线表中的预估数据</t>
        </r>
      </text>
    </comment>
    <comment ref="F2" authorId="0">
      <text>
        <r>
          <rPr>
            <b/>
            <sz val="9"/>
            <rFont val="宋体"/>
            <charset val="134"/>
          </rPr>
          <t>sushuang:</t>
        </r>
        <r>
          <rPr>
            <sz val="9"/>
            <rFont val="宋体"/>
            <charset val="134"/>
          </rPr>
          <t xml:space="preserve">
每人每年在公司规划工作的自然月</t>
        </r>
      </text>
    </comment>
    <comment ref="G2" authorId="0">
      <text>
        <r>
          <rPr>
            <b/>
            <sz val="9"/>
            <rFont val="宋体"/>
            <charset val="134"/>
          </rPr>
          <t>sushuang:</t>
        </r>
        <r>
          <rPr>
            <sz val="9"/>
            <rFont val="宋体"/>
            <charset val="134"/>
          </rPr>
          <t xml:space="preserve">
基线表规划的人天数（预测）</t>
        </r>
      </text>
    </comment>
    <comment ref="H2" authorId="0">
      <text>
        <r>
          <rPr>
            <b/>
            <sz val="9"/>
            <rFont val="宋体"/>
            <charset val="134"/>
          </rPr>
          <t>sushuang:</t>
        </r>
        <r>
          <rPr>
            <sz val="9"/>
            <rFont val="宋体"/>
            <charset val="134"/>
          </rPr>
          <t xml:space="preserve">
基线表中的实际工作天数</t>
        </r>
      </text>
    </comment>
  </commentList>
</comments>
</file>

<file path=xl/comments3.xml><?xml version="1.0" encoding="utf-8"?>
<comments xmlns="http://schemas.openxmlformats.org/spreadsheetml/2006/main">
  <authors>
    <author>sushuang</author>
  </authors>
  <commentList>
    <comment ref="D1" authorId="0">
      <text>
        <r>
          <rPr>
            <b/>
            <sz val="9"/>
            <rFont val="宋体"/>
            <charset val="134"/>
          </rPr>
          <t>sushuang:</t>
        </r>
        <r>
          <rPr>
            <sz val="9"/>
            <rFont val="宋体"/>
            <charset val="134"/>
          </rPr>
          <t xml:space="preserve">
=（基线总计月份数）人力规划*21.75</t>
        </r>
      </text>
    </comment>
    <comment ref="E1" authorId="0">
      <text>
        <r>
          <rPr>
            <b/>
            <sz val="9"/>
            <rFont val="宋体"/>
            <charset val="134"/>
          </rPr>
          <t>sushuang:</t>
        </r>
        <r>
          <rPr>
            <sz val="9"/>
            <rFont val="宋体"/>
            <charset val="134"/>
          </rPr>
          <t xml:space="preserve">
=（基线总计月份数）人力预测</t>
        </r>
      </text>
    </comment>
    <comment ref="G1" authorId="0">
      <text>
        <r>
          <rPr>
            <b/>
            <sz val="9"/>
            <rFont val="宋体"/>
            <charset val="134"/>
          </rPr>
          <t>sushuang:</t>
        </r>
        <r>
          <rPr>
            <sz val="9"/>
            <rFont val="宋体"/>
            <charset val="134"/>
          </rPr>
          <t xml:space="preserve">
=（基线总计月份数）人力实际核算</t>
        </r>
      </text>
    </comment>
  </commentList>
</comments>
</file>

<file path=xl/sharedStrings.xml><?xml version="1.0" encoding="utf-8"?>
<sst xmlns="http://schemas.openxmlformats.org/spreadsheetml/2006/main" count="5325" uniqueCount="1328">
  <si>
    <t>L3</t>
  </si>
  <si>
    <t>L4功能大类</t>
  </si>
  <si>
    <t>L5功能子类</t>
  </si>
  <si>
    <t>L6功能名称
（包含已有功能）</t>
  </si>
  <si>
    <r>
      <rPr>
        <b/>
        <sz val="10"/>
        <color theme="0"/>
        <rFont val="微软雅黑"/>
        <charset val="134"/>
      </rPr>
      <t xml:space="preserve">关键规格与描述
</t>
    </r>
    <r>
      <rPr>
        <sz val="10"/>
        <color theme="0"/>
        <rFont val="微软雅黑"/>
        <charset val="134"/>
      </rPr>
      <t>（如有可能，尽量定量指标描述）</t>
    </r>
  </si>
  <si>
    <r>
      <rPr>
        <b/>
        <sz val="10"/>
        <color theme="0"/>
        <rFont val="微软雅黑"/>
        <charset val="134"/>
      </rPr>
      <t xml:space="preserve">对标软件
</t>
    </r>
    <r>
      <rPr>
        <sz val="10"/>
        <color theme="0"/>
        <rFont val="微软雅黑"/>
        <charset val="134"/>
      </rPr>
      <t>（具体到模块名，可为多个软件）</t>
    </r>
  </si>
  <si>
    <r>
      <rPr>
        <b/>
        <sz val="10"/>
        <color theme="0"/>
        <rFont val="Microsoft YaHei"/>
        <charset val="134"/>
      </rPr>
      <t xml:space="preserve">对标国外软件成熟度评价%
</t>
    </r>
    <r>
      <rPr>
        <sz val="10"/>
        <color theme="0"/>
        <rFont val="Microsoft YaHei"/>
        <charset val="134"/>
      </rPr>
      <t>（7级为基本满足日常使用需求，9级为成熟完全满足工程应用需求）
需要指出功能指标、功能差距</t>
    </r>
  </si>
  <si>
    <t>规划年度</t>
  </si>
  <si>
    <t>基线达到时间（月）</t>
  </si>
  <si>
    <t>隶属版本号</t>
  </si>
  <si>
    <t>预期人力成本（人月）
（如：P1 2人月， P2 1人月）</t>
  </si>
  <si>
    <r>
      <rPr>
        <b/>
        <sz val="10"/>
        <color theme="0"/>
        <rFont val="微软雅黑"/>
        <charset val="134"/>
      </rPr>
      <t xml:space="preserve">行业/工业品需求分类
</t>
    </r>
    <r>
      <rPr>
        <sz val="10"/>
        <color theme="0"/>
        <rFont val="微软雅黑"/>
        <charset val="134"/>
      </rPr>
      <t>（通用类、XX行业/XX产品专用）</t>
    </r>
  </si>
  <si>
    <t>重难点评述</t>
  </si>
  <si>
    <t>MxSim.MultiPhy多物理场耦合分析平台</t>
  </si>
  <si>
    <t>外部模型</t>
  </si>
  <si>
    <t>几何</t>
  </si>
  <si>
    <t>基本建模功能集成</t>
  </si>
  <si>
    <t>具备基本的几何建模功能</t>
  </si>
  <si>
    <t>Ansys Workbench</t>
  </si>
  <si>
    <t>7级</t>
  </si>
  <si>
    <t>2024年度</t>
  </si>
  <si>
    <t>MxSim.MultiPhy V2.0.0</t>
  </si>
  <si>
    <t>P1 2人月 P2 2人月</t>
  </si>
  <si>
    <t>通用</t>
  </si>
  <si>
    <t>常用几何模型导入</t>
  </si>
  <si>
    <t>支持常见的几何文件导入</t>
  </si>
  <si>
    <t>2023年度</t>
  </si>
  <si>
    <t>MxSim.MultiPhy V1.0.0</t>
  </si>
  <si>
    <t>P1 1人月</t>
  </si>
  <si>
    <t>网格</t>
  </si>
  <si>
    <t>常用网格模型导入</t>
  </si>
  <si>
    <t>支持常见CAE文件网格模型的导入</t>
  </si>
  <si>
    <t>网格剖分集成</t>
  </si>
  <si>
    <t>具备基本的网格剖分功能</t>
  </si>
  <si>
    <t>P1 1人月 P2 2人月</t>
  </si>
  <si>
    <t>MxSim单物理场仿真</t>
  </si>
  <si>
    <t>低频电磁场</t>
  </si>
  <si>
    <t>静电场</t>
  </si>
  <si>
    <t>用于处理静态电场问题，例如电场分析、电势分析等。可以计算电荷分布、电势分布、电场强度分布等</t>
  </si>
  <si>
    <t>Ansys Workbench Maxwell</t>
  </si>
  <si>
    <t>8级
功能具备，效率待提升</t>
  </si>
  <si>
    <t>P1 2人月
P3 3人月</t>
  </si>
  <si>
    <t>直流电场</t>
  </si>
  <si>
    <t>用于处理直流电场问题，例如电流、电势和电场分布等。可以计算电阻、电容、电感等元件的特性</t>
  </si>
  <si>
    <t>交流电池</t>
  </si>
  <si>
    <t>用于处理交流电场问题，例如电源、电感、电容和负载等元件的特性。可以计算电流、电势和电场分布等</t>
  </si>
  <si>
    <t>静磁场</t>
  </si>
  <si>
    <t>用于处理静态磁场问题，例如磁场分析、磁通密度分析等。可以计算磁荷分布、磁势分布、磁场强度分布等</t>
  </si>
  <si>
    <t>似稳电磁场</t>
  </si>
  <si>
    <t>用于处理低频电磁场问题，例如电磁波导、共振腔等器件的特性。可以计算电流、电势和电场分布等</t>
  </si>
  <si>
    <t>瞬态磁场</t>
  </si>
  <si>
    <t>用于处理高速电磁场问题，例如磁控管、脉冲电磁铁等器件的特性。可以计算感应电压、电流和磁场分布等</t>
  </si>
  <si>
    <t>高频电磁场</t>
  </si>
  <si>
    <t>频域分析</t>
  </si>
  <si>
    <t>使用频域分析，可以计算各种高频器件的S参数、传输线参数、阻抗等，并可进行频率扫描、功率扫描等操作</t>
  </si>
  <si>
    <t>Ansys Workbench HFSS</t>
  </si>
  <si>
    <t>2025年度</t>
  </si>
  <si>
    <t>MxSim.MultiPhy V3.0.0</t>
  </si>
  <si>
    <t>P1 2人月
P3 2人月</t>
  </si>
  <si>
    <t>时域分析</t>
  </si>
  <si>
    <t>使用时域分析，可以计算电磁波的传播、反射、折射等问题，还可以检测和分析器件中的故障或损伤</t>
  </si>
  <si>
    <t>通用结构</t>
  </si>
  <si>
    <t>静态结构</t>
  </si>
  <si>
    <t>用于处理静态结构问题，例如强度、刚度、变形等方面的问题。可以计算应力、位移、变形等</t>
  </si>
  <si>
    <t>Ansys Workbench Mechanical</t>
  </si>
  <si>
    <t>8级
核心功能具备，但复杂功能存在差距</t>
  </si>
  <si>
    <t>瞬态结构</t>
  </si>
  <si>
    <t>用于处理结构在短时间内发生变化的问题，例如冲击、爆炸等。可以计算结构响应的瞬态特性</t>
  </si>
  <si>
    <t>模态</t>
  </si>
  <si>
    <t>用于计算结构的固有频率和振型，并可视化振型形状。可以帮助用户理解结构的动态特性</t>
  </si>
  <si>
    <t>响应谱</t>
  </si>
  <si>
    <t>用于评估结构在地震等外部激励下的响应情况。可以计算结构的最大应力、最大位移等参数</t>
  </si>
  <si>
    <t>谐波响应</t>
  </si>
  <si>
    <t>用于分析结构在周期性载荷作用下的响应情况。可以计算结构的共振频率、响应幅值等参数</t>
  </si>
  <si>
    <t>随机振动</t>
  </si>
  <si>
    <t>用于分析结构在随机载荷下的响应情况。可以计算结构的振幅谱、功率谱密度等参数</t>
  </si>
  <si>
    <t>热</t>
  </si>
  <si>
    <t>稳态热</t>
  </si>
  <si>
    <t>用于处理稳态热传导和温度分布问题。可以计算稳定状态下物体的温度、热流、热通量等参数</t>
  </si>
  <si>
    <t>P1 1人月
P3 1人月</t>
  </si>
  <si>
    <t>瞬态热</t>
  </si>
  <si>
    <t>用于处理热响应时间较短的问题，例如瞬态加热、冷却等。可以计算在特定时间下物体的温度、热流、热通量等参数</t>
  </si>
  <si>
    <t>显式动力学</t>
  </si>
  <si>
    <t>用于分析高速碰撞、爆炸和冲击等领域中的结构动态响应。该模块采用显式时间积分方法，可用于模拟非线性、大变形和破坏行为。</t>
  </si>
  <si>
    <t>Ansys Workbench Dyna</t>
  </si>
  <si>
    <t>P1 1人月
P3 2人月</t>
  </si>
  <si>
    <t>流体</t>
  </si>
  <si>
    <t>不可压</t>
  </si>
  <si>
    <t>用于处理速度较低、密度变化小的流体问题，例如液体流动、液压系统等。可以计算流量、压力、速度场等参数</t>
  </si>
  <si>
    <t>Ansys Workbench Fluent</t>
  </si>
  <si>
    <t>可压</t>
  </si>
  <si>
    <t>用于处理速度较高、密度变化大的流体问题，例如空气动力学、喷气推进等。可以计算压力波、激波、速度场等参数</t>
  </si>
  <si>
    <t>气动声</t>
  </si>
  <si>
    <t>用于处理空气产生的声音问题，例如飞机噪声、风扇噪声等。可以计算声功率、声压级等参数</t>
  </si>
  <si>
    <t>依托单场求解器进度，计划2025.12</t>
  </si>
  <si>
    <t>刚体动力学</t>
  </si>
  <si>
    <t>用于分析机械系统或结构件的运动和响应。该模块采用牛顿力学原理，可用于模拟多种刚体运动问题，例如碰撞、滚动、旋转等</t>
  </si>
  <si>
    <t>7级
依托单场求解器功能</t>
  </si>
  <si>
    <t>P1 1人月
P3 3人月</t>
  </si>
  <si>
    <t>声学</t>
  </si>
  <si>
    <t>静态声学</t>
  </si>
  <si>
    <t>静态声学分析通常使用单一频率进行求解，可以选择感兴趣的频率范围进行分析。</t>
  </si>
  <si>
    <t>模态声学</t>
  </si>
  <si>
    <t>用于确定声腔的固有频率和振型</t>
  </si>
  <si>
    <t>谐波声学</t>
  </si>
  <si>
    <t>用于评估声波在结构中的传播，以及在不同频率下结构的响应</t>
  </si>
  <si>
    <t>瞬态声学</t>
  </si>
  <si>
    <t>用于评估声波传播时结构的响应，例如冲击或爆炸声</t>
  </si>
  <si>
    <t>疲劳</t>
  </si>
  <si>
    <t>疲劳模块</t>
  </si>
  <si>
    <t>分析动态荷载下的应力、应变分布，并进行疲劳寿命预测</t>
  </si>
  <si>
    <t>Ansys Workbench ncode</t>
  </si>
  <si>
    <t>多物理场耦合仿真</t>
  </si>
  <si>
    <t>顺序耦合</t>
  </si>
  <si>
    <t>结构-热</t>
  </si>
  <si>
    <t>用于处理由热载荷引起的结构变形问题。可以计算热源对结构的影响，同时还考虑结构对温度场的反馈作用</t>
  </si>
  <si>
    <t>结构-磁</t>
  </si>
  <si>
    <t>将结构和磁场分析相互耦合，以考虑磁场对结构材料的影响</t>
  </si>
  <si>
    <t>热-电</t>
  </si>
  <si>
    <t>电流通过导体时会产生热量，同时热量也会影响材料的电阻率和电导率等电特性</t>
  </si>
  <si>
    <t>电磁-热</t>
  </si>
  <si>
    <t>用于处理电磁场和热传导的耦合问题，例如电炉、感应加热器等</t>
  </si>
  <si>
    <t>结构-流体</t>
  </si>
  <si>
    <t>用于处理结构和流体的耦合问题，例如风力发电机、船舶等。</t>
  </si>
  <si>
    <t>结构-声</t>
  </si>
  <si>
    <t>用于处理结构和声波的耦合问题，例如机器噪声、声学隔离等。</t>
  </si>
  <si>
    <t>热-流</t>
  </si>
  <si>
    <t>热和流体分析相互耦合，以考虑流体对温度场的影响</t>
  </si>
  <si>
    <t>电磁-流体</t>
  </si>
  <si>
    <t>用于处理电磁场和流体流动的耦合问题，例如电磁泵、电磁阀等</t>
  </si>
  <si>
    <t>电磁-声</t>
  </si>
  <si>
    <t>用于处理电磁场和声波的耦合问题，例如扬声器、电动汽车等</t>
  </si>
  <si>
    <t>显式动力学-流体</t>
  </si>
  <si>
    <t>用于处理显式动力学和流体流动的耦合问题，例如爆炸物冲击波等</t>
  </si>
  <si>
    <t>显式动力学-热</t>
  </si>
  <si>
    <t>用于处理显式动力学和热传导的耦合问题，例如高速撞击等</t>
  </si>
  <si>
    <t>显式动力学-结构</t>
  </si>
  <si>
    <t>用于处理显式动力学和结构响应的耦合问题，例如高强度碰撞等</t>
  </si>
  <si>
    <t>显式动力学-磁</t>
  </si>
  <si>
    <t>用于处理显式动力学和磁场的耦合问题，例如爆炸产生的电磁干扰等</t>
  </si>
  <si>
    <t>直接耦合</t>
  </si>
  <si>
    <t>用于处理结构和热传导的直接耦合问题，例如建筑物、汽车引擎等</t>
  </si>
  <si>
    <t>P3 1人月</t>
  </si>
  <si>
    <t>结构-电</t>
  </si>
  <si>
    <t>用于处理结构和电场的直接耦合问题，例如电气设备、电子器件等</t>
  </si>
  <si>
    <t>用于处理结构和声波的直接耦合问题</t>
  </si>
  <si>
    <t>用于处理热传导和流体流动之间的直接耦合问题，例如换热器、涡轮机等</t>
  </si>
  <si>
    <t>用于处理结构和磁场的直接耦合问题，例如变压器、电机等</t>
  </si>
  <si>
    <t>P3 3人月</t>
  </si>
  <si>
    <t>用于处理热传导和电场之间的直接耦合问题，例如电子散热器、温控系统等</t>
  </si>
  <si>
    <t>任意强耦合形式</t>
  </si>
  <si>
    <t>分块矩阵的形式，实现任意场的强耦合框架，该阶段以架构为主，需要依赖耦合矩阵的构建</t>
  </si>
  <si>
    <t>Comsol</t>
  </si>
  <si>
    <t>基本结果后处理</t>
  </si>
  <si>
    <t>结果显示</t>
  </si>
  <si>
    <t>云图</t>
  </si>
  <si>
    <t>通过颜色编码显示场量的强度分布，例如温度、应力等</t>
  </si>
  <si>
    <t>9级</t>
  </si>
  <si>
    <t>P1 2人月</t>
  </si>
  <si>
    <t>动画</t>
  </si>
  <si>
    <t>将仿真过程转换为视频或GIF动画，帮助用户观察系统行为的变化</t>
  </si>
  <si>
    <t>图表</t>
  </si>
  <si>
    <t>绘制各种曲线和数据图表，例如应力-应变曲线、频谱图等</t>
  </si>
  <si>
    <t>切片</t>
  </si>
  <si>
    <t>在体积内绘制平面切片，以查看特定位置上的场量分布</t>
  </si>
  <si>
    <t>矢量图</t>
  </si>
  <si>
    <t>绘制矢量场，例如速度矢量场、电场矢量场等</t>
  </si>
  <si>
    <t>P1 10人月   P3 10人月</t>
  </si>
  <si>
    <t>包含界面工作P1 10人月</t>
  </si>
  <si>
    <t>P1 11人月 P2 4人月 P3 14人月</t>
  </si>
  <si>
    <t>包含界面人员 P1 11人月</t>
  </si>
  <si>
    <t>P1 6人月  P3 14人月</t>
  </si>
  <si>
    <t>包含界面人员 P1 6人月</t>
  </si>
  <si>
    <t>L6功能名称</t>
  </si>
  <si>
    <r>
      <rPr>
        <b/>
        <sz val="10"/>
        <color theme="0"/>
        <rFont val="微软雅黑"/>
        <charset val="134"/>
      </rPr>
      <t xml:space="preserve">对标国外软件
</t>
    </r>
    <r>
      <rPr>
        <sz val="10"/>
        <color theme="0"/>
        <rFont val="微软雅黑"/>
        <charset val="134"/>
      </rPr>
      <t>（具体到模块名）</t>
    </r>
  </si>
  <si>
    <t>网格功能需求</t>
  </si>
  <si>
    <t>声学网格功能</t>
  </si>
  <si>
    <t>AML边界层网格</t>
  </si>
  <si>
    <t>基于模型边界自动生成吸声边界层网格，不显示，但在计算过程中使用</t>
  </si>
  <si>
    <t>LMS Virtual Lab_Acoustic</t>
  </si>
  <si>
    <t>MxSim.Acoustic V2.0.0</t>
  </si>
  <si>
    <t>P2 2人月</t>
  </si>
  <si>
    <t>需网格技术支持</t>
  </si>
  <si>
    <t>网格包络</t>
  </si>
  <si>
    <t>声学网格包络面，声学有限元分析中是所有体网格的表面包围面，用于添加各种求解设置；声学边界元方法中的网格包络面就是等于声学边界元分析网格</t>
  </si>
  <si>
    <t>P2 1人月</t>
  </si>
  <si>
    <t>声学材料</t>
  </si>
  <si>
    <t>基本声学介质</t>
  </si>
  <si>
    <t>传播速度、介质的质量密度参数</t>
  </si>
  <si>
    <t>MxSim.Acoustic V1.0.0</t>
  </si>
  <si>
    <t>均质材料</t>
  </si>
  <si>
    <t>设置密度、声速、阻尼等参数来定义</t>
  </si>
  <si>
    <t>异质材料</t>
  </si>
  <si>
    <t>定义每个组成部分的材料和几何形状，以及各部分之间的界面条件</t>
  </si>
  <si>
    <t>P2 3人月</t>
  </si>
  <si>
    <t>吸声材料</t>
  </si>
  <si>
    <t>设置材料的吸收系数和厚度等参数</t>
  </si>
  <si>
    <t>隔声材料</t>
  </si>
  <si>
    <t>设置材料的传声系数和厚度等参数</t>
  </si>
  <si>
    <t>散射材料</t>
  </si>
  <si>
    <t>设置材料的散射截面和表面形态等参数</t>
  </si>
  <si>
    <t>多孔材料</t>
  </si>
  <si>
    <t>定义材料的孔隙率、孔洞形状、孔洞分布等参数</t>
  </si>
  <si>
    <t>声学边界条件</t>
  </si>
  <si>
    <t>常规边界条件</t>
  </si>
  <si>
    <t>声压边界</t>
  </si>
  <si>
    <t>设置声压</t>
  </si>
  <si>
    <t>P1 0.5人月</t>
  </si>
  <si>
    <t>阻抗边界</t>
  </si>
  <si>
    <t>模拟声学场景中不同材质之间反射和吸收声波的特性的功能，设置所需的阻抗值或频率响应函数等参数</t>
  </si>
  <si>
    <t>专用边界条件</t>
  </si>
  <si>
    <t>自由边界条件</t>
  </si>
  <si>
    <t>模拟无限远处的声场，适用于开放空间中的声学问题</t>
  </si>
  <si>
    <t>刚性壁面边界条件</t>
  </si>
  <si>
    <t>模拟完全反射的表面，适用于封闭空间中的声学问题</t>
  </si>
  <si>
    <t>半无限介质边界条件</t>
  </si>
  <si>
    <t>模拟介质边界处的声波传播，适用于介质分界面附近的声学问题</t>
  </si>
  <si>
    <t>吸声壁面边界条</t>
  </si>
  <si>
    <t>模拟具有一定吸声能力的表面，适用于需要考虑墙面吸声效果的声学问题</t>
  </si>
  <si>
    <t>周期性边界条件</t>
  </si>
  <si>
    <t>模拟具有周期性结构的声学系统，适用于声学器件和振动系统中的周期性问题</t>
  </si>
  <si>
    <t>对称边界条</t>
  </si>
  <si>
    <t>模拟对称结构中的声波传播，适用于对称结构中的声学问题</t>
  </si>
  <si>
    <t>声场激励</t>
  </si>
  <si>
    <t>声源</t>
  </si>
  <si>
    <t>单极子</t>
  </si>
  <si>
    <t>通过设置其位置、振幅、相位等参数来进行定义和模拟</t>
  </si>
  <si>
    <t>偶极子</t>
  </si>
  <si>
    <t>平面波</t>
  </si>
  <si>
    <t>激励</t>
  </si>
  <si>
    <t>速度</t>
  </si>
  <si>
    <t>通过施加速度变化来模拟声波在介质中的传播，设置所需的波形类型、频率、幅值等参数</t>
  </si>
  <si>
    <t>加速度</t>
  </si>
  <si>
    <t>通过施加加速度变化来模拟声波在介质中的传播，设置所需的波形类型、频率、幅值等参数</t>
  </si>
  <si>
    <t>分析类型及方法</t>
  </si>
  <si>
    <t>声学边界元</t>
  </si>
  <si>
    <t>LMS Virtual Lab_Acoustic_BEM</t>
  </si>
  <si>
    <t>ACA迭代法</t>
  </si>
  <si>
    <t>支持ACA（自适应交叉近似）迭代法</t>
  </si>
  <si>
    <t>FMM迭代法</t>
  </si>
  <si>
    <t>支持FMM（快速多极子）迭代法</t>
  </si>
  <si>
    <t>HFBEM直接法</t>
  </si>
  <si>
    <t>支持HFBEM (高频BEM)直接法</t>
  </si>
  <si>
    <t>P3 2人月</t>
  </si>
  <si>
    <t>ATM （即TPA）</t>
  </si>
  <si>
    <t>支持ATM (Acoustic Transfer Matrix)计算，适用于声学方面的路径计算分析（即TPA）</t>
  </si>
  <si>
    <t>声学有限元</t>
  </si>
  <si>
    <t>频域有分析</t>
  </si>
  <si>
    <t>内声场</t>
  </si>
  <si>
    <t>LMS Virtual Lab_Acoustic_FEM</t>
  </si>
  <si>
    <t>外声场，支持完美边界层PML计算</t>
  </si>
  <si>
    <t>外声场，支持AML计算，即求解器自动生成PML层</t>
  </si>
  <si>
    <t>内声场分析</t>
  </si>
  <si>
    <t>声模态分析</t>
  </si>
  <si>
    <t>能量分析法</t>
  </si>
  <si>
    <t>SEA模块</t>
  </si>
  <si>
    <t>高频声场分析</t>
  </si>
  <si>
    <t>P3 6人月</t>
  </si>
  <si>
    <t>最基本的高频分析方法，具体技术细节需后续更新</t>
  </si>
  <si>
    <t>网格类型</t>
  </si>
  <si>
    <t>2D</t>
  </si>
  <si>
    <t>三角形</t>
  </si>
  <si>
    <t>四边形</t>
  </si>
  <si>
    <t>3D</t>
  </si>
  <si>
    <t>四面体网格</t>
  </si>
  <si>
    <t>三棱柱网格</t>
  </si>
  <si>
    <t>六面体网格</t>
  </si>
  <si>
    <t>声学结果输出</t>
  </si>
  <si>
    <t>声学结果</t>
  </si>
  <si>
    <t>声压等输出</t>
  </si>
  <si>
    <t>支持输出声压，声压级，加权声压级（A-weighted），速度，声功率等</t>
  </si>
  <si>
    <t>远场结果输出</t>
  </si>
  <si>
    <t>支持远场声压（级），声功率，声指向性等输出</t>
  </si>
  <si>
    <t>能量输出</t>
  </si>
  <si>
    <t>支持能量及能量密度结果输出</t>
  </si>
  <si>
    <t>声场模块计划2023年9月起由新入学博士开始启动产品化工作，2024年度形成第一个版本，中间计划补充P2级别员工一人</t>
  </si>
  <si>
    <t>P1 6.5人月 P2 1人月</t>
  </si>
  <si>
    <t>2024年度需开始界面开发工作，预期P1级别开发人员，6人月</t>
  </si>
  <si>
    <t xml:space="preserve">P1 4人月 P2 15人月 </t>
  </si>
  <si>
    <t>P2 9人月 P3 9人月</t>
  </si>
  <si>
    <r>
      <rPr>
        <b/>
        <sz val="10"/>
        <color theme="0"/>
        <rFont val="Microsoft YaHei"/>
        <charset val="134"/>
      </rPr>
      <t xml:space="preserve">关键规格与描述
</t>
    </r>
    <r>
      <rPr>
        <sz val="10"/>
        <color theme="0"/>
        <rFont val="Microsoft YaHei"/>
        <charset val="134"/>
      </rPr>
      <t>（如有可能，尽量定量指标描述）</t>
    </r>
  </si>
  <si>
    <r>
      <rPr>
        <b/>
        <sz val="10"/>
        <color theme="0"/>
        <rFont val="Microsoft YaHei"/>
        <charset val="134"/>
      </rPr>
      <t xml:space="preserve">对标软件
</t>
    </r>
    <r>
      <rPr>
        <sz val="10"/>
        <color theme="0"/>
        <rFont val="Microsoft YaHei"/>
        <charset val="134"/>
      </rPr>
      <t>（具体到模块名，可为多个软件）</t>
    </r>
  </si>
  <si>
    <r>
      <rPr>
        <b/>
        <sz val="10"/>
        <color theme="0"/>
        <rFont val="Microsoft YaHei"/>
        <charset val="134"/>
      </rPr>
      <t xml:space="preserve">行业/工业品需求分类
</t>
    </r>
    <r>
      <rPr>
        <sz val="10"/>
        <color theme="0"/>
        <rFont val="Microsoft YaHei"/>
        <charset val="134"/>
      </rPr>
      <t>（通用类、XX行业/XX产品专用）</t>
    </r>
  </si>
  <si>
    <t>外部需求</t>
  </si>
  <si>
    <t>针对任务的特定网格功能需求</t>
  </si>
  <si>
    <t>自适应网格生成</t>
  </si>
  <si>
    <t>根据后验误差生成2D/3D自适应优化网格</t>
  </si>
  <si>
    <t>Ansys Maxwell</t>
  </si>
  <si>
    <t>7级
满足一般算例的自适应需求</t>
  </si>
  <si>
    <t>MxSim.Emag V1.0.0</t>
  </si>
  <si>
    <t>需要网格模块支撑</t>
  </si>
  <si>
    <t>趋肤效应网格的自适应生成</t>
  </si>
  <si>
    <t>在金属表面，生成基于趋肤效应的三角形（二维）或四面体（三维）网格</t>
  </si>
  <si>
    <t>7级
满足一般算例的计算需求</t>
  </si>
  <si>
    <t>多部件网格一键生成</t>
  </si>
  <si>
    <t>用户可以设置一些网格尺寸的控制参数，如基于面最大单元长度、导体内部最大单元长度，基于控制参数自动生成多部件共节点网格</t>
  </si>
  <si>
    <t>Ansys Maxwell、Comsol ACDC</t>
  </si>
  <si>
    <t>7级
满足一般几何特征的零部件的网格生成</t>
  </si>
  <si>
    <t>MxSim.Emag V2.0.0</t>
  </si>
  <si>
    <t>运动网格</t>
  </si>
  <si>
    <t>电磁场和结构场耦合时导致结构的运动网格需适时更新</t>
  </si>
  <si>
    <t>7级
对电机仿真需求的运动网格需求</t>
  </si>
  <si>
    <t>2026年度</t>
  </si>
  <si>
    <t>MxSim.Emag V4.0.0</t>
  </si>
  <si>
    <t>低频电磁场求解器</t>
  </si>
  <si>
    <t>电磁材料库及材料属性自定义</t>
  </si>
  <si>
    <t>电场材料参数</t>
  </si>
  <si>
    <t>电导率</t>
  </si>
  <si>
    <t>各向同性</t>
  </si>
  <si>
    <t>8级</t>
  </si>
  <si>
    <t>已有</t>
  </si>
  <si>
    <t>/</t>
  </si>
  <si>
    <t>各向异性</t>
  </si>
  <si>
    <t>恒电导率</t>
  </si>
  <si>
    <t>非线性J-E曲线，仅支持3D直流分析</t>
  </si>
  <si>
    <t>随温度变化电导率</t>
  </si>
  <si>
    <t>介电常数</t>
  </si>
  <si>
    <t>恒相对介电常数</t>
  </si>
  <si>
    <t>DE曲线</t>
  </si>
  <si>
    <t>损耗因子</t>
  </si>
  <si>
    <t>介电损耗切线</t>
  </si>
  <si>
    <t>设置该参数表示耗散高频电场功率的介电介质</t>
  </si>
  <si>
    <t>磁场材料参数</t>
  </si>
  <si>
    <t>磁导率</t>
  </si>
  <si>
    <t>恒磁导率</t>
  </si>
  <si>
    <t>BH曲线</t>
  </si>
  <si>
    <t>各向异性和BH曲线</t>
  </si>
  <si>
    <t>剩磁</t>
  </si>
  <si>
    <t>磁损耗切线</t>
  </si>
  <si>
    <t>要表示耗散高频磁场功率的铁氧体的磁性材料添加的属性</t>
  </si>
  <si>
    <t>矫顽力自定义</t>
  </si>
  <si>
    <t>支持对永磁材料的矫顽力进行自定义</t>
  </si>
  <si>
    <t>磁滞材料</t>
  </si>
  <si>
    <t>磁滞材料自定义</t>
  </si>
  <si>
    <t>对磁滞材料进行属性定义（2021年铁芯损耗这一模块取消了）</t>
  </si>
  <si>
    <t>铁耗系数</t>
  </si>
  <si>
    <t>铁耗系数自定义</t>
  </si>
  <si>
    <t>基于铁耗三项式模型
①直接定义材料铁耗系数；
②通过单频点或多频点BP曲线插值得到铁耗系数。</t>
  </si>
  <si>
    <t>常用材料库</t>
  </si>
  <si>
    <t>常用电磁材料库</t>
  </si>
  <si>
    <t>工程中常见材料模型库的建立，包括导电材料、绝缘材料、永磁材料、铁芯材料等</t>
  </si>
  <si>
    <t>5级
添加基本电磁材料，丰富度需逐渐提升</t>
  </si>
  <si>
    <t>P1 3人月</t>
  </si>
  <si>
    <t>永磁材料属性</t>
  </si>
  <si>
    <t>永磁材料参数定义</t>
  </si>
  <si>
    <t>用于电机电磁特性分析、应用于RMxprt</t>
  </si>
  <si>
    <t>MxSim.Emag V3.0.0</t>
  </si>
  <si>
    <t>消磁曲线输入</t>
  </si>
  <si>
    <t>部件定义</t>
  </si>
  <si>
    <t>叠片属性定义</t>
  </si>
  <si>
    <t>支持各个方向的叠片属性设置，坐标系支持直角、柱坐标、球坐标。</t>
  </si>
  <si>
    <t>7级
现阶段支持部分坐标系，覆盖不全</t>
  </si>
  <si>
    <t>利兹线（litz）定义</t>
  </si>
  <si>
    <t>仅支持瞬态、涡流绕组设置，用于减少高频绕组的交流损耗</t>
  </si>
  <si>
    <t>边界</t>
  </si>
  <si>
    <t>电磁场边界</t>
  </si>
  <si>
    <t>自然边界</t>
  </si>
  <si>
    <t>磁通量垂直于所定义边界</t>
  </si>
  <si>
    <t>磁通量平行边界</t>
  </si>
  <si>
    <t>磁通量平行于所定义边界</t>
  </si>
  <si>
    <t>空气边界</t>
  </si>
  <si>
    <t>无穷远边界</t>
  </si>
  <si>
    <t>薄隙边界</t>
  </si>
  <si>
    <t>将两接触面定义为含一定气隙长度的边界，用于减小网格规模。</t>
  </si>
  <si>
    <t>阻抗边界是用来模拟薄介质层的边界条件，主要应用于谐态场分析。</t>
  </si>
  <si>
    <t>绝缘边界</t>
  </si>
  <si>
    <t>电场强度E在绝缘边界上是不连续的，可用于很薄的绝缘层。</t>
  </si>
  <si>
    <t>切向磁场强度边界</t>
  </si>
  <si>
    <t>模拟外加磁场，支持外加磁场恒定及随时间函数变化</t>
  </si>
  <si>
    <t>对称边界</t>
  </si>
  <si>
    <t>对称边界条件是计算对称结构时采用的边界条件</t>
  </si>
  <si>
    <t>周期对称边界</t>
  </si>
  <si>
    <t>周期边界条件是计算周期性对称结构时采用的边界条件，使主边界和从边界场量具有相同的幅度、相位和相同或相反的方向。支持旋转周期对称和平移周期对称。</t>
  </si>
  <si>
    <t>电磁场激励</t>
  </si>
  <si>
    <t>电压源激励</t>
  </si>
  <si>
    <t>电压激励，支持以函数、列表、参数形式定义任意波形的电压</t>
  </si>
  <si>
    <t>电流源激励</t>
  </si>
  <si>
    <t>电流激励，支持以函数、列表、参数形式定义任意波形的电流</t>
  </si>
  <si>
    <t>外部电路激励</t>
  </si>
  <si>
    <t>支持电路模块，包含常用电路元器件如电压源、电流源、开关、电阻、电容、电感、二极管，同时电磁场能够与电路进行场路耦合仿真</t>
  </si>
  <si>
    <t>7级
二极管未添加</t>
  </si>
  <si>
    <t>涡流效应</t>
  </si>
  <si>
    <t>涡流场计算时，设置是否考虑线圈激励的涡流效应</t>
  </si>
  <si>
    <t>其他类型激励</t>
  </si>
  <si>
    <t>电荷激励、电流密度、电荷密度</t>
  </si>
  <si>
    <t>其他类型的激励，如永磁激励，浮动导体，薄片导体等</t>
  </si>
  <si>
    <t>Ansys Maxwell, Comsol ACDC</t>
  </si>
  <si>
    <t>分析类型</t>
  </si>
  <si>
    <t>磁场求解器</t>
  </si>
  <si>
    <t>2D静磁场求解器</t>
  </si>
  <si>
    <t>求解直流电流和永磁体引起的2D/3D静磁场问题，支持线性和非线性材料</t>
  </si>
  <si>
    <t>3D静磁场求解器</t>
  </si>
  <si>
    <t>2D涡流场求解器</t>
  </si>
  <si>
    <t>求解在频域中正弦变化的2D/3D磁场，支持线性和非线性材料，考虑位移电流，以及趋肤和邻近效应</t>
  </si>
  <si>
    <t>3D涡流场求解器</t>
  </si>
  <si>
    <t>2D瞬态磁场求解器</t>
  </si>
  <si>
    <t>求解由时变激励、运动、以及线性或非线性材料中的永磁体引起的2D/3D瞬态磁场，考虑趋肤和邻近效应</t>
  </si>
  <si>
    <t>3D瞬态磁场求解器</t>
  </si>
  <si>
    <t>电场求解器</t>
  </si>
  <si>
    <t>2D静电场求解器</t>
  </si>
  <si>
    <t>求解线性材料中的2D静电场</t>
  </si>
  <si>
    <t>3D静电场求解器</t>
  </si>
  <si>
    <t>求解线性材料中的3D静电场</t>
  </si>
  <si>
    <t>2D交流传导场求解器</t>
  </si>
  <si>
    <t>求解在频域中正弦变化的2D电场</t>
  </si>
  <si>
    <t>2D直流传导场求解器</t>
  </si>
  <si>
    <t>求解电压、电场和电势产生的2D电流密度</t>
  </si>
  <si>
    <t>3D直流传导场求解器</t>
  </si>
  <si>
    <t>求解电压、电场和电势产生的3D电流密度</t>
  </si>
  <si>
    <t>3D瞬态电场求解器</t>
  </si>
  <si>
    <t>求解非均匀材料中由时变电压、电荷分布或电流激发引起的瞬态电场</t>
  </si>
  <si>
    <t>电路仿真（后续应独立）</t>
  </si>
  <si>
    <t>直流、交流、瞬态</t>
  </si>
  <si>
    <t>电路模块独立出电磁场仿真，作为电磁场仿真接口引用</t>
  </si>
  <si>
    <t>7级
具备基本的电路仿真功能，满足基本的电磁场对电路的需求，但界面未配套，电子元器件不够丰富</t>
  </si>
  <si>
    <t>当前版本的电路功能支持范围有限，基本分析类型支持，元器件支持差距较大</t>
  </si>
  <si>
    <t>分析方法</t>
  </si>
  <si>
    <t>有限元类方法</t>
  </si>
  <si>
    <t>节点有限元</t>
  </si>
  <si>
    <t>支持电场仿真部分</t>
  </si>
  <si>
    <t>稳定节点积分</t>
  </si>
  <si>
    <t>低阶高精度单元</t>
  </si>
  <si>
    <t>边光滑有限元</t>
  </si>
  <si>
    <t>棱边元</t>
  </si>
  <si>
    <t>基于边的形函数进行磁场的计算，支持磁场分析，电场分析采用节点有限元法</t>
  </si>
  <si>
    <t>相关功能技术</t>
  </si>
  <si>
    <t>技术相关</t>
  </si>
  <si>
    <t>电磁自适应时间步法</t>
  </si>
  <si>
    <t>瞬态分析根据迭代误差自适应调整计算的时间步长</t>
  </si>
  <si>
    <t>功能相关</t>
  </si>
  <si>
    <t>全局参数设置</t>
  </si>
  <si>
    <t>设置全局参数，模型树中使用该参数变量代替值即可</t>
  </si>
  <si>
    <t>界面配合</t>
  </si>
  <si>
    <t>函数功能用户自定义</t>
  </si>
  <si>
    <t>函数表达式用户自定义</t>
  </si>
  <si>
    <t>工程算例库</t>
  </si>
  <si>
    <t>针对某个分析建立工程算例库</t>
  </si>
  <si>
    <t>5级
建立核心分析类型的算例库，复杂分析类型的模板库暂时不包含在此周期内</t>
  </si>
  <si>
    <t>场路耦合</t>
  </si>
  <si>
    <t>场路耦合分析</t>
  </si>
  <si>
    <t>能通过降价模型或瞬态协同仿真技术，实现场路协同设计，如实现电磁部件和系统设计同步</t>
  </si>
  <si>
    <t>Ansys Maxwell/Simplorer</t>
  </si>
  <si>
    <t>具备基本流程，电路方面功能丰富性不足</t>
  </si>
  <si>
    <t>外电路耦合</t>
  </si>
  <si>
    <t>电磁场与外电路的强耦合及迭代耦合</t>
  </si>
  <si>
    <t>仿真结果</t>
  </si>
  <si>
    <t>磁场结果</t>
  </si>
  <si>
    <t>矢量磁位</t>
  </si>
  <si>
    <t>矢量磁位云图输出</t>
  </si>
  <si>
    <t>磁场强度</t>
  </si>
  <si>
    <t>磁场强度云图输出</t>
  </si>
  <si>
    <t>磁通密度</t>
  </si>
  <si>
    <t>磁通密度云图输出</t>
  </si>
  <si>
    <t>场能量</t>
  </si>
  <si>
    <t>场能量云图输出</t>
  </si>
  <si>
    <t>损耗</t>
  </si>
  <si>
    <t>损耗云图输出</t>
  </si>
  <si>
    <t>场变量的镜像生成</t>
  </si>
  <si>
    <t>电磁场模型对称处理时，后处理输出可以将镜像云图显示出来</t>
  </si>
  <si>
    <t>需要后处理支持</t>
  </si>
  <si>
    <t>电场结果</t>
  </si>
  <si>
    <t>标量电位</t>
  </si>
  <si>
    <t>标量电位云图输出</t>
  </si>
  <si>
    <t>电场强度</t>
  </si>
  <si>
    <t>电场强度云图输出</t>
  </si>
  <si>
    <t>电位移通量</t>
  </si>
  <si>
    <t>电位移云图输出</t>
  </si>
  <si>
    <t>面电荷密度</t>
  </si>
  <si>
    <t>面电荷密度云图输出</t>
  </si>
  <si>
    <t>损耗计算</t>
  </si>
  <si>
    <t>涡流损耗</t>
  </si>
  <si>
    <t>铁心损耗</t>
  </si>
  <si>
    <t>绕组导体涡流损耗，铁心损耗为涡流损耗、磁滞损耗和其他损耗的和，三者有相关的经验公式</t>
  </si>
  <si>
    <t>衍生量计算</t>
  </si>
  <si>
    <t>力</t>
  </si>
  <si>
    <t>Maxwell应力张量法，Lorentz法，虚位移法、节点力法</t>
  </si>
  <si>
    <t>7级
部分场景力计算的精度仍有偏差</t>
  </si>
  <si>
    <t>力矩</t>
  </si>
  <si>
    <t>根据力和位移以及局部的坐标系计算其力矩</t>
  </si>
  <si>
    <t>能量</t>
  </si>
  <si>
    <t>电场能量、磁场能量、磁场共能量（coenergy）等</t>
  </si>
  <si>
    <t>后处理配合</t>
  </si>
  <si>
    <t>曲线输出</t>
  </si>
  <si>
    <t>随时间的曲线输出</t>
  </si>
  <si>
    <t>自变量数据可来源衍生量、电磁计算器等计算结果，处理对象可以是点、线、面、体积等，场变量为各种场变量</t>
  </si>
  <si>
    <t>需后处理配合</t>
  </si>
  <si>
    <t>随频率的曲线输出</t>
  </si>
  <si>
    <t>云图输出逻辑</t>
  </si>
  <si>
    <t>场变量云图输出逻辑更改</t>
  </si>
  <si>
    <t>支持场变量不同部件的同时输出</t>
  </si>
  <si>
    <t>电机专用仿真模块</t>
  </si>
  <si>
    <t>电机仿真快速建模</t>
  </si>
  <si>
    <t>电机分析边界</t>
  </si>
  <si>
    <t>电机分析边界直观定义</t>
  </si>
  <si>
    <t>Ansys Maxwell RMXprt</t>
  </si>
  <si>
    <t>电机专用</t>
  </si>
  <si>
    <t>电机分析载荷</t>
  </si>
  <si>
    <t>电机分析载荷直观定义</t>
  </si>
  <si>
    <t>电机绕组信息快速建模</t>
  </si>
  <si>
    <t>提供绕组的连接方式选择，自动创建最常用的外电路连接用于瞬态有限元分析</t>
  </si>
  <si>
    <t>电机</t>
  </si>
  <si>
    <t>电机模型模板
（侧重电机模型建立）</t>
  </si>
  <si>
    <t>通用旋转电机</t>
  </si>
  <si>
    <t>内转子感应机</t>
  </si>
  <si>
    <t>Ansys Maxwell RMxprt</t>
  </si>
  <si>
    <t>P1 6人月
P2 6人月
P3 2人月</t>
  </si>
  <si>
    <t>更加倾向于参数化建模</t>
  </si>
  <si>
    <t>外转子感应机</t>
  </si>
  <si>
    <t>固体转子感应机</t>
  </si>
  <si>
    <t>缠绕转子感应机</t>
  </si>
  <si>
    <t>双馈感应发电机</t>
  </si>
  <si>
    <t>轴向通量感应机</t>
  </si>
  <si>
    <t>磁滞电机</t>
  </si>
  <si>
    <t>旋转场同步机</t>
  </si>
  <si>
    <t>旋转电枢同步机</t>
  </si>
  <si>
    <t>磁阻同步电机</t>
  </si>
  <si>
    <t>永磁同步电机</t>
  </si>
  <si>
    <t>轴流永磁同步电机</t>
  </si>
  <si>
    <t>永磁无刷直流电动机</t>
  </si>
  <si>
    <t>轴流无刷直流电动机</t>
  </si>
  <si>
    <t>电机快速建模分析模板
（模型加整个仿真模板）</t>
  </si>
  <si>
    <t>三相感应电机</t>
  </si>
  <si>
    <t>定子绕组（具有正弦空间分布和p对极点）连接到一个三相对称电压电源。转子绕组通常是鼠笼型，极数由定子中的极数决定。</t>
  </si>
  <si>
    <t>P1 4人月
P2 4人月
P3 2人月</t>
  </si>
  <si>
    <t>参数化建模+分析模板</t>
  </si>
  <si>
    <t>单相感应电机</t>
  </si>
  <si>
    <t>结构上和多相类似，和多相的区别在于定子绕组由主绕组和辅助绕组组成，它们的轴在空间中位移90度</t>
  </si>
  <si>
    <t>三相同步电机</t>
  </si>
  <si>
    <t>三相凸极同步电机有发电机和电机两种类型。它们的基本结构是一样的。</t>
  </si>
  <si>
    <t>无刷永磁直流电机</t>
  </si>
  <si>
    <t>无刷直流电机的定子配有多相绕组。这些相位通过一个开关电路连接到直流总线上。控制开关顺序，使其与转子的位置同步。因此，定子产生了一个旋转的磁场。</t>
  </si>
  <si>
    <t>调速同步电机和发电机</t>
  </si>
  <si>
    <t>在可调速永磁同步电机中，通过调节输入电压的频率来控制转子转速。与标准的无刷永磁直流电机不同，这种类型的机器不使用位置传感器。</t>
  </si>
  <si>
    <t>永磁直流电动机</t>
  </si>
  <si>
    <t>对于永磁直流电机，定子配备了P对永磁体，产生了P对南北交变的两极。永磁体的磁通量所产生的磁场相对于定子的分布是固定的。该转子配有一个分布式绕组，与一个与转子一起旋转的换向器相连。</t>
  </si>
  <si>
    <t>开关磁阻电机</t>
  </si>
  <si>
    <t>该电机类型使用轴位置反馈来同步相电流的换向与精确的转子位置。通常，定子和转子都是凸极的，以增加电机产生扭矩的特性。转子没有绕组；扭矩是通过转子对定子的对准倾向产生的，使得定子磁通链接最大化。</t>
  </si>
  <si>
    <t>直线启动永磁同步电动机</t>
  </si>
  <si>
    <t>将三相正弦电压源施加到同步电机的定子绕组上会在气隙中产生旋转磁场。安装在转子上的永磁极试图与该旋转场保持对齐，从而在转子上产生同步力矩。在启动时，转子上的阻尼绕组会产生异步启动转矩，创造出自启动的特点。</t>
  </si>
  <si>
    <t>通用电机</t>
  </si>
  <si>
    <t>通用电动机的定子配备有p对线圈绕制极，形成P对交替的南北极。线圈励磁可以是交流或直流。转子配备有分布式绕组，连接到随转子一起旋转的换向器上。</t>
  </si>
  <si>
    <t>通用直流电机</t>
  </si>
  <si>
    <t>对于直流电机或发电机，转子配备有分布式绕组（称为电枢绕组），连接到随转子一起旋转的换向器上。</t>
  </si>
  <si>
    <t>爪极交流发电机</t>
  </si>
  <si>
    <t>爪极交流发电机的定子配备有多相绕组。转子由与定子绕组相同数量的爪极组成。转子的爪极通过一个圆柱形绕组和/或一个圆柱形永磁体磁化。旋转的转子在气隙中产生旋转磁场，从而在定子绕组中产生感应电压。</t>
  </si>
  <si>
    <t>三相非凸极同步机</t>
  </si>
  <si>
    <t>它们接收轴上的机械能并将其转化为电能。转子配备有一种由直流源激励的非凸极绕组。定子配备有具有正弦空间分布的三相绕组。旋转的转子在电机气隙中产生旋转磁场。</t>
  </si>
  <si>
    <t>高频电磁场求解器</t>
  </si>
  <si>
    <t>频域有限元求解器</t>
  </si>
  <si>
    <t>模式驱动求解器</t>
  </si>
  <si>
    <t>Eigenmode Solver
支持根据用户所定义的模式数目求解端口模式数目及场分布，并为每个模式分配相等的功率；仿真时用端口场分布做为边界条件对内部进行求解；支持求解包括阻抗，S参数，Y参数等；</t>
  </si>
  <si>
    <t xml:space="preserve">Ansys HFSS </t>
  </si>
  <si>
    <t>终端驱动求解器</t>
  </si>
  <si>
    <t>支持以终端为基础计算多导体传输线端口的S参数；</t>
  </si>
  <si>
    <t>Ansys HFSS</t>
  </si>
  <si>
    <t>本征模式求解器</t>
  </si>
  <si>
    <t>支持计算谐振结构的谐振频率和谐振频率处对应的场； 
支持计算谐振腔体的无载Q值；</t>
  </si>
  <si>
    <t>多种扫频方式</t>
  </si>
  <si>
    <t>支持离散扫频、插值扫频、快速扫频等扫频计算方式</t>
  </si>
  <si>
    <t>矩量法求解器</t>
  </si>
  <si>
    <t>2.5D 矩量法求解器</t>
  </si>
  <si>
    <t>支持平面层叠结构的2.5D矩量法求解</t>
  </si>
  <si>
    <t>3D 矩量法求解器</t>
  </si>
  <si>
    <t>支持三维结构的全波矩量法求解</t>
  </si>
  <si>
    <t>FEKO</t>
  </si>
  <si>
    <t>自适应交叉近似加速算法（ACA）</t>
  </si>
  <si>
    <t>矩量法求解支持自适应交叉近似算法加速，提高计算效率</t>
  </si>
  <si>
    <t>Ansys HFSS，FEKO</t>
  </si>
  <si>
    <t>多层快速多极子加速算法（MLFMM）</t>
  </si>
  <si>
    <t>矩量法求解支持多层快速多极子算法加速，提高计算效率</t>
  </si>
  <si>
    <t>时域有限元求解器</t>
  </si>
  <si>
    <t>间断伽辽金时域求解器（DGTD）</t>
  </si>
  <si>
    <t>间断伽辽金时域求解器可以采用任意形状的有限元网格、混合网格，能够高精度地模拟原始几何模型。</t>
  </si>
  <si>
    <t>高频渐进算法求解器</t>
  </si>
  <si>
    <t>物理光学法</t>
  </si>
  <si>
    <t>物理光学法（PO）求解高频电磁问题</t>
  </si>
  <si>
    <t>P3 4人月</t>
  </si>
  <si>
    <t>目前具体工作量及难度无法把握，具体的工作量及工程中是否需要，需2024年底重新规划具体工作线</t>
  </si>
  <si>
    <t>几何光学法</t>
  </si>
  <si>
    <t>几何光学法（GO）求解高频电磁问题</t>
  </si>
  <si>
    <t>弹跳射线法</t>
  </si>
  <si>
    <t>利用几何光学射线法（GO）将物理光学法（PO）扩展至多次弹跳，并可以结合物理绕射理论（PTD）、一致性绕射理论（UTD）、爬行波修正等分析方法，以获得更高的精度。</t>
  </si>
  <si>
    <t>Ansys HFSS, CST</t>
  </si>
  <si>
    <t>混合算法求解器</t>
  </si>
  <si>
    <t>有限元-矩量法混合</t>
  </si>
  <si>
    <t>有限元与矩量法混合，如通过FE-BI方法实现</t>
  </si>
  <si>
    <t>矩量法-高频渐进法混合</t>
  </si>
  <si>
    <t>矩量法与物理光学、几何光学、弹跳射线等高频渐进算法混合</t>
  </si>
  <si>
    <t>有限元-矩量法-高频渐进法混合</t>
  </si>
  <si>
    <t>有限元、矩量法与高频渐进算法的混合，用户可制定模型局部所采用的算法，实现不同算法的自动耦合计算，提高计算效率</t>
  </si>
  <si>
    <t>场路协同仿真</t>
  </si>
  <si>
    <t>时域场路协同仿真</t>
  </si>
  <si>
    <t>可以考虑非线性元件和信号的脉冲响应，适用于瞬态分析和宽带信号传输的仿真</t>
  </si>
  <si>
    <t>频域场路协同仿真</t>
  </si>
  <si>
    <t>对稳态信号进行分析，适用于射频电路和天线设计</t>
  </si>
  <si>
    <t>散射场路协同仿真</t>
  </si>
  <si>
    <t>用于分析电磁波在物体表面或周围的散射和辐射情况，适用于雷达散射分析、无线通信和天线设计等领域</t>
  </si>
  <si>
    <t>高频激励</t>
  </si>
  <si>
    <t>集总端口激励</t>
  </si>
  <si>
    <t>包含电流源和电压源，支持定义边端口、面端口</t>
  </si>
  <si>
    <t>平面波激励</t>
  </si>
  <si>
    <t>用于模拟三维空间中沿着指定方向入射的平面波激励</t>
  </si>
  <si>
    <t>波端口激励</t>
  </si>
  <si>
    <t>通过模式求解器求出端口截面所包含的模式，以单个或多个模式作为激励馈入设备，并且用模式匹配的方法吸收来波，仿真精度高。用于波导、微带线等作为馈源结构的仿真</t>
  </si>
  <si>
    <t>场源激励</t>
  </si>
  <si>
    <t>场源是建立一个面激励源，使用等效原理将电磁场能量通过用户指定的口径注入到仿真空间中</t>
  </si>
  <si>
    <t>定义作用于导体之间的电压源激励，设置电压幅度、相位和电场方向等参数值</t>
  </si>
  <si>
    <t>定义作用于导体的电流源激励，设置电流幅度、相位和电流方向等参数值</t>
  </si>
  <si>
    <t>偶极子激励</t>
  </si>
  <si>
    <t>用于模拟一个理想电偶极子振动产生的电磁效应</t>
  </si>
  <si>
    <t>吸收边界条件ABC</t>
  </si>
  <si>
    <t>用于仿真开放问题，无需额外增加计算区域，吸收精度弱于PML</t>
  </si>
  <si>
    <t>PEC/PMC</t>
  </si>
  <si>
    <t>用于模拟理想电边界、理想磁边界条件</t>
  </si>
  <si>
    <t>周期边界条件</t>
  </si>
  <si>
    <t>用于仿真具有周期结构的电磁问题，只需要仿真一个单元</t>
  </si>
  <si>
    <t>结果后处理</t>
  </si>
  <si>
    <t>网络参数S/Y/Z/VSWR提取</t>
  </si>
  <si>
    <t>电磁仿真中的基本参数，用于分析设备的网络参数</t>
  </si>
  <si>
    <t>P1 6人月
P2 3人月</t>
  </si>
  <si>
    <t>端口阻抗</t>
  </si>
  <si>
    <t>用于分析激励端的端口阻抗特性</t>
  </si>
  <si>
    <t>场监视器</t>
  </si>
  <si>
    <t>用于分析某点/面/体的时域/频域场</t>
  </si>
  <si>
    <t>功率</t>
  </si>
  <si>
    <t>用于分析设备的功率指标，包含入射功率、净输入功率、辐射功率</t>
  </si>
  <si>
    <t>近场图</t>
  </si>
  <si>
    <t>用于分析仿真区域内部的电磁场分布和变化</t>
  </si>
  <si>
    <t>RCS</t>
  </si>
  <si>
    <t>用于分析散射目标体的雷达散射截面，包含单站、双站RCS</t>
  </si>
  <si>
    <t>远场方向图</t>
  </si>
  <si>
    <t>用于分析天线的方向图，指导天线设计</t>
  </si>
  <si>
    <t>辐射效率</t>
  </si>
  <si>
    <t>用于分析天线的辐射效率</t>
  </si>
  <si>
    <t>方向性系数</t>
  </si>
  <si>
    <t>用于分析天线的方向性系数</t>
  </si>
  <si>
    <t>增益</t>
  </si>
  <si>
    <t>用于分析天线的增益系数</t>
  </si>
  <si>
    <t>前后比</t>
  </si>
  <si>
    <t>用于分析天线的前后比系数</t>
  </si>
  <si>
    <t>天线阵列分析</t>
  </si>
  <si>
    <t>基于已有结果进行天线阵列的分析</t>
  </si>
  <si>
    <t>局部SAR/平均SAR</t>
  </si>
  <si>
    <t>用于分析电磁辐射对生物体的影响</t>
  </si>
  <si>
    <t>坡印廷矢量</t>
  </si>
  <si>
    <t>用于分析仿真区域的坡印廷矢量分布和变化</t>
  </si>
  <si>
    <t>散射热点成像</t>
  </si>
  <si>
    <t>用于分析雷达的目标成像问题</t>
  </si>
  <si>
    <t>眼图</t>
  </si>
  <si>
    <t>用于分析电磁设备的信号完整性</t>
  </si>
  <si>
    <t>自定义结果后处理</t>
  </si>
  <si>
    <t>场计算器</t>
  </si>
  <si>
    <t>内嵌场计算器，支持手动添加后处理公式进行后处理计算。</t>
  </si>
  <si>
    <t xml:space="preserve">低频模块2023年7月入职新员工1人，P2级别，计划再补充P2 1人次
高频模块计划2024年开始启动开发工作，需要新招人员，预期期望P3级别人员主导开发，并配1个P2级别人员
</t>
  </si>
  <si>
    <t>P1 8人月 P2 14人月</t>
  </si>
  <si>
    <t>P1 6人月 P2 20人月 P3 10人月</t>
  </si>
  <si>
    <t>P1 17人月 P2 16人月 P3 5人月</t>
  </si>
  <si>
    <t>P1 4人月 P2 16人月 P3 13人月</t>
  </si>
  <si>
    <t>版本号</t>
  </si>
  <si>
    <t>版本说明</t>
  </si>
  <si>
    <t>修订日期</t>
  </si>
  <si>
    <t>修订说明</t>
  </si>
  <si>
    <t xml:space="preserve">   例子XX产品总计XX元，其中P1 XX天，合计XXX元，P2 XX天，合计XXX元；P3 XX天，合计XXX元；1、典型设备及管道智能化分析软件研发项目V0.0.2中《1.建立典型设备和管道样本数据库，2.提取特征参数，3.构建适用于典型设备和管道智能预测及设计优化的代理模型4.开发典型设备和管道智能化分析软件建立典型设备和管道样本数据库》任务与典型设备及管道智能化分析软件研发项目V0.0.3《确认系统设计方案；搭建系统框架；搭建数据库；页面可增删改任务》重复，重复的工时是支撑MxDesign.NodeFlow V1.0.1项目中《1.解决软件运行中的warning；2.求解器节点求解过程中处于未响应状态，影响使用体验；3.除MxSim外的商软，求解速度优化》任务，经排查，工时多预计39天
  2、典型设备及管道智能化分析软件研发项目V0.0.2中龙旺的《提供3种以上试验设计算法，并进行试验设计分析，实现仿真模型复杂高维设计域内试验设计方案的快速生成。》21天工作量没有做，进行删除</t>
  </si>
  <si>
    <t>评级或向下</t>
  </si>
  <si>
    <t>P3-P4</t>
  </si>
  <si>
    <t>P2-P3</t>
  </si>
  <si>
    <t>P1-P2</t>
  </si>
  <si>
    <t>P2-P4</t>
  </si>
  <si>
    <t>P1-P3</t>
  </si>
  <si>
    <t>P1-P4</t>
  </si>
  <si>
    <t>产品</t>
  </si>
  <si>
    <t>难度等级</t>
  </si>
  <si>
    <t>难度等级个数</t>
  </si>
  <si>
    <t>折算后的个数</t>
  </si>
  <si>
    <t>NodeFlow</t>
  </si>
  <si>
    <t>Wizard</t>
  </si>
  <si>
    <t>总计</t>
  </si>
  <si>
    <t>总体难度比例</t>
  </si>
  <si>
    <t>MxDesign</t>
  </si>
  <si>
    <t>负责人</t>
  </si>
  <si>
    <t>廖孟亮</t>
  </si>
  <si>
    <t>开始
时间</t>
  </si>
  <si>
    <t>需求来源</t>
  </si>
  <si>
    <t>需求优先级</t>
  </si>
  <si>
    <t>是否为产品需求</t>
  </si>
  <si>
    <r>
      <rPr>
        <sz val="9"/>
        <color rgb="FFFF0000"/>
        <rFont val="微软雅黑"/>
        <charset val="134"/>
      </rPr>
      <t>*</t>
    </r>
    <r>
      <rPr>
        <sz val="9"/>
        <color theme="1"/>
        <rFont val="微软雅黑"/>
        <charset val="134"/>
      </rPr>
      <t>客户来源</t>
    </r>
  </si>
  <si>
    <r>
      <rPr>
        <sz val="9"/>
        <color rgb="FFFF0000"/>
        <rFont val="微软雅黑"/>
        <charset val="134"/>
      </rPr>
      <t>*</t>
    </r>
    <r>
      <rPr>
        <sz val="9"/>
        <color theme="1"/>
        <rFont val="微软雅黑"/>
        <charset val="134"/>
      </rPr>
      <t>L4功能大类</t>
    </r>
  </si>
  <si>
    <r>
      <rPr>
        <sz val="9"/>
        <color rgb="FFFF0000"/>
        <rFont val="微软雅黑"/>
        <charset val="134"/>
      </rPr>
      <t>*</t>
    </r>
    <r>
      <rPr>
        <sz val="9"/>
        <color theme="1"/>
        <rFont val="微软雅黑"/>
        <charset val="134"/>
      </rPr>
      <t>L5功能子类</t>
    </r>
  </si>
  <si>
    <t>*当前基线</t>
  </si>
  <si>
    <r>
      <rPr>
        <sz val="9"/>
        <color rgb="FFFF0000"/>
        <rFont val="微软雅黑"/>
        <charset val="134"/>
      </rPr>
      <t>*</t>
    </r>
    <r>
      <rPr>
        <sz val="9"/>
        <color theme="1"/>
        <rFont val="微软雅黑"/>
        <charset val="134"/>
      </rPr>
      <t>L6功能名称</t>
    </r>
    <r>
      <rPr>
        <sz val="9"/>
        <color rgb="FFFF0000"/>
        <rFont val="微软雅黑"/>
        <charset val="134"/>
      </rPr>
      <t>（需开发项）</t>
    </r>
  </si>
  <si>
    <r>
      <rPr>
        <sz val="9"/>
        <color rgb="FFFF0000"/>
        <rFont val="微软雅黑"/>
        <charset val="134"/>
      </rPr>
      <t>*</t>
    </r>
    <r>
      <rPr>
        <sz val="9"/>
        <color theme="1"/>
        <rFont val="微软雅黑"/>
        <charset val="134"/>
      </rPr>
      <t>关键规格与描述</t>
    </r>
  </si>
  <si>
    <r>
      <rPr>
        <sz val="9"/>
        <color rgb="FFFF0000"/>
        <rFont val="微软雅黑"/>
        <charset val="134"/>
      </rPr>
      <t>*</t>
    </r>
    <r>
      <rPr>
        <sz val="9"/>
        <color theme="1"/>
        <rFont val="微软雅黑"/>
        <charset val="134"/>
      </rPr>
      <t>验收标准</t>
    </r>
    <r>
      <rPr>
        <sz val="9"/>
        <color rgb="FFFF0000"/>
        <rFont val="微软雅黑"/>
        <charset val="134"/>
      </rPr>
      <t>（对应交付物是什么）</t>
    </r>
  </si>
  <si>
    <r>
      <rPr>
        <sz val="9"/>
        <color rgb="FFFF0000"/>
        <rFont val="微软雅黑"/>
        <charset val="134"/>
      </rPr>
      <t>*</t>
    </r>
    <r>
      <rPr>
        <sz val="9"/>
        <color theme="1"/>
        <rFont val="微软雅黑"/>
        <charset val="134"/>
      </rPr>
      <t>对标软件</t>
    </r>
  </si>
  <si>
    <t>*是否需要技服制作自测算例</t>
  </si>
  <si>
    <t>*是否需要技服制作算例</t>
  </si>
  <si>
    <t>*是否需要进行迭代测试</t>
  </si>
  <si>
    <r>
      <rPr>
        <sz val="9"/>
        <color rgb="FFFF0000"/>
        <rFont val="微软雅黑"/>
        <charset val="134"/>
      </rPr>
      <t>*</t>
    </r>
    <r>
      <rPr>
        <sz val="9"/>
        <color theme="1"/>
        <rFont val="微软雅黑"/>
        <charset val="134"/>
      </rPr>
      <t>成熟度评价%</t>
    </r>
  </si>
  <si>
    <t>*责任人</t>
  </si>
  <si>
    <t>人员实际等级</t>
  </si>
  <si>
    <r>
      <rPr>
        <sz val="9"/>
        <color rgb="FFFF0000"/>
        <rFont val="微软雅黑"/>
        <charset val="134"/>
      </rPr>
      <t>*</t>
    </r>
    <r>
      <rPr>
        <sz val="9"/>
        <color theme="1"/>
        <rFont val="微软雅黑"/>
        <charset val="134"/>
      </rPr>
      <t>任务等级</t>
    </r>
  </si>
  <si>
    <t>实际等级数据处理</t>
  </si>
  <si>
    <t>任务等级数据处理</t>
  </si>
  <si>
    <t>基数</t>
  </si>
  <si>
    <t>*规划年度</t>
  </si>
  <si>
    <t>*基线达到时间</t>
  </si>
  <si>
    <t>*隶属版本号</t>
  </si>
  <si>
    <r>
      <rPr>
        <sz val="9"/>
        <color rgb="FFFF0000"/>
        <rFont val="微软雅黑"/>
        <charset val="134"/>
      </rPr>
      <t>*预期人力成本</t>
    </r>
    <r>
      <rPr>
        <b/>
        <sz val="9"/>
        <color rgb="FFFF0000"/>
        <rFont val="微软雅黑"/>
        <charset val="134"/>
      </rPr>
      <t>（人天）</t>
    </r>
  </si>
  <si>
    <t>*开始时间</t>
  </si>
  <si>
    <t>*预计结束时间</t>
  </si>
  <si>
    <r>
      <rPr>
        <sz val="9"/>
        <color rgb="FFFF0000"/>
        <rFont val="微软雅黑"/>
        <charset val="134"/>
      </rPr>
      <t>考虑难度系数人力成本</t>
    </r>
    <r>
      <rPr>
        <b/>
        <sz val="9"/>
        <color rgb="FFFF0000"/>
        <rFont val="微软雅黑"/>
        <charset val="134"/>
      </rPr>
      <t>（人天）</t>
    </r>
  </si>
  <si>
    <t>按任务等级计算费用</t>
  </si>
  <si>
    <t>需求ID</t>
  </si>
  <si>
    <t>任务ID</t>
  </si>
  <si>
    <t>人天</t>
  </si>
  <si>
    <t>工时</t>
  </si>
  <si>
    <t>备注</t>
  </si>
  <si>
    <t>SX</t>
  </si>
  <si>
    <t>P1</t>
  </si>
  <si>
    <t>P2</t>
  </si>
  <si>
    <t>P3</t>
  </si>
  <si>
    <t>P4</t>
  </si>
  <si>
    <t>P5</t>
  </si>
  <si>
    <t>公司关联产品需求</t>
  </si>
  <si>
    <t>中</t>
  </si>
  <si>
    <t>否</t>
  </si>
  <si>
    <t>前后处理平台-自研</t>
  </si>
  <si>
    <t>MxSim</t>
  </si>
  <si>
    <t>产品管理</t>
  </si>
  <si>
    <t>产品及项目整体架构管理</t>
  </si>
  <si>
    <t>1.管理MxSim.GUI相关产品及项目。
2.管理MxSim.CAD&amp;CG相关产品及项目。
3.部门内部相关制度文档材料制作。
4.协调沟通部门开发、测试对接工作。
6.指导振华重工、电机参数化建模项目开发。</t>
  </si>
  <si>
    <t>无</t>
  </si>
  <si>
    <t>汤光泽</t>
  </si>
  <si>
    <t>MxSim.GUI-通用-V3.0.0</t>
  </si>
  <si>
    <t>王飞奇</t>
  </si>
  <si>
    <t>高</t>
  </si>
  <si>
    <t>是</t>
  </si>
  <si>
    <t>通用结构平台-自研</t>
  </si>
  <si>
    <t>MxSim.Mech</t>
  </si>
  <si>
    <t>CAD</t>
  </si>
  <si>
    <t>当前版本不支持草图模式</t>
  </si>
  <si>
    <t>当前版本不支持草图创建功能</t>
  </si>
  <si>
    <t>开发草图基础图元：点、线段、多段线、圆心－半径画圆、椭圆弧、样条曲线、圆上三点画圆、圆心－起点－终点画弧、圆上三点画弧、椭圆，复合图元：矩形、平行四边形、正多边形创建功能</t>
  </si>
  <si>
    <t>点击草图模式后再点击各个草图图标即可创建各类二维几何草图</t>
  </si>
  <si>
    <t>spaceclaim</t>
  </si>
  <si>
    <t>5级</t>
  </si>
  <si>
    <t>吴维煜</t>
  </si>
  <si>
    <t>MxSim.Mechanical-通用-GUI-V3.0.0</t>
  </si>
  <si>
    <t>多物理场与智算平台-自研</t>
  </si>
  <si>
    <t>MxSim.Motor</t>
  </si>
  <si>
    <t>GUI</t>
  </si>
  <si>
    <t>斜槽斜极分析和非斜槽斜极分析的后处理切片与全周期模型及矢量箭头、等值线联动</t>
  </si>
  <si>
    <t>1、非斜槽斜极分析，后处理切片实现全周期模型，并且该全周期模型支持矢量箭头和等值线功能；
2、斜槽斜极分析，后处理的每个切片及所有切片实现全周期模型，并且该全周期模型支持矢量箭头和等值线功能；
3、全周期模型需匹配正周期和反周期模型</t>
  </si>
  <si>
    <t>验证标准：【无需算例，直接通过软件进行创建】
验证算例例子：【无需算例，直接进行软件测试】</t>
  </si>
  <si>
    <t>Maxwell</t>
  </si>
  <si>
    <t>曹业鸿</t>
  </si>
  <si>
    <t>P0</t>
  </si>
  <si>
    <t>MxSim.Motor电机综合智能仿真分析软件-GUI-V2.0.0</t>
  </si>
  <si>
    <t>同一工况下的所有云图的时间步需要同步</t>
  </si>
  <si>
    <t>1、某一云图运行到了一定时间步后，与该云图所处的同一工况的所有云图，均需切换相同时间步，与之不同则无需改变</t>
  </si>
  <si>
    <t>材料温度相关性配置</t>
  </si>
  <si>
    <t>根据材料温度相关性进行设置部件温度</t>
  </si>
  <si>
    <t>磁矢量位边界需求设置</t>
  </si>
  <si>
    <t>磁矢量位针对不同分析工况输入设置和关键字设置：瞬态分析和静态分析，保留原先磁矢量位不作处理，关键字输出也不作处理；频域分析：需要在值的基础上添加个相位参数</t>
  </si>
  <si>
    <t>电机端部电阻电感计算</t>
  </si>
  <si>
    <t>电机参数化建模生成电磁性能分析时，对于需要填充绕组电阻和电感的区域进行函数调用计算，将返回的结果填充到对应位置</t>
  </si>
  <si>
    <t>静态_似稳电磁场分析气隙处共节点网格需求</t>
  </si>
  <si>
    <t xml:space="preserve">静态分析和频域分析，不存在运动边界，气隙处的网格均保证共节点，即保证所有边界是共拓扑；
瞬态分析时，气隙几何处要保证非共拓扑，即瞬态要保证气隙处不共节点；
</t>
  </si>
  <si>
    <t>绕组需求对齐设置</t>
  </si>
  <si>
    <t>兼容三相电机的静磁、频域分析和瞬态分析的绕组需求</t>
  </si>
  <si>
    <t>气隙几何需求</t>
  </si>
  <si>
    <t>基于现有模型，在构建气隙的时候，根据定转子及其类型，进行分割模型</t>
  </si>
  <si>
    <t>气隙曲线绘制</t>
  </si>
  <si>
    <t xml:space="preserve">支持绘制气隙磁密
、气隙径向磁密
、气隙切向磁密、气隙电磁力密、气隙径向电磁力密、气隙切向电磁力密曲线
</t>
  </si>
  <si>
    <t>平行齿功能</t>
  </si>
  <si>
    <t>参数化建模支持构建槽型的平行齿功能，并修改相应参数化建模界面</t>
  </si>
  <si>
    <t>瞬态分析指定场变量输出帧数</t>
  </si>
  <si>
    <t>制作电机瞬态输出控制面板，支持三种类型的指定输出
，适配关键字输出</t>
  </si>
  <si>
    <t>完成电机前处理及参数化建模产品手册</t>
  </si>
  <si>
    <t>1、产品手册文档</t>
  </si>
  <si>
    <t>网格共节点问题的几何数据识别</t>
  </si>
  <si>
    <t>实现三相感应电机、无刷永磁电机的网格共节点的几何处理</t>
  </si>
  <si>
    <t>界面架构优化</t>
  </si>
  <si>
    <t>修改Motor底层架构与Mech持平，并实现Motor现有功能</t>
  </si>
  <si>
    <t>界面功能扩展，界面美观优化，菜单栏、工具栏、快捷操作、几何拾取逻辑扩展、工程文件保存</t>
  </si>
  <si>
    <t>/需要进一步细化</t>
  </si>
  <si>
    <t>Ansys Electronic</t>
  </si>
  <si>
    <t>刘奉明</t>
  </si>
  <si>
    <t>界面底层架构优化</t>
  </si>
  <si>
    <t>分析工况显示需求</t>
  </si>
  <si>
    <t>非线性迭代步数设置</t>
  </si>
  <si>
    <t>后处理多帧数据导入优化</t>
  </si>
  <si>
    <t>完成电机后处理产品手册</t>
  </si>
  <si>
    <t>后处理切帧导入功能</t>
  </si>
  <si>
    <t>Mesh</t>
  </si>
  <si>
    <t>当前版本不支持复杂工程模型的单部件四面体网格生成</t>
  </si>
  <si>
    <t>复杂工程模型的单部件四面体网格生成</t>
  </si>
  <si>
    <t>具备对复杂工程模型的单部件四面体并行剖分</t>
  </si>
  <si>
    <t>软件支持对复杂工程模型的并行四面体网格生成，且剖分速度能达到Hypermesh的75%。
1.打开软件，导入几何模型，进行四面体剖分，能完成四面体网格生成，剖分的时间小于相同尺寸下Hypermesh剖分时间的75%则验收通过。
2.使用已有几何文件测试算例，无需技术服务部及测试部额外制作算例。</t>
  </si>
  <si>
    <t>Hypermesh</t>
  </si>
  <si>
    <t>王海东</t>
  </si>
  <si>
    <t>当前版本不支持基于距离场控制的初始网格基于距离场控制的初始网格细化细化</t>
  </si>
  <si>
    <t>基于距离场控制的初始网格基于距离场控制的初始网格细化细化</t>
  </si>
  <si>
    <t>具备基于距离场控制三角形、四面体初始网格加点细化</t>
  </si>
  <si>
    <t>软件支持基于距离场控制三角形、四面体初始网格加点细化。
1. 打开软件，导入几何模型，进行三角形或四面体剖分，能正常进行网格生成。
2.使用已有几何文件测试算例，无需技术服务部及测试部额外制作算例。</t>
  </si>
  <si>
    <t>当前界面重构版本不支持电机模块网格共节点</t>
  </si>
  <si>
    <t>界面重构版本电机模块网格共节点集成</t>
  </si>
  <si>
    <t>界面重构版本电机模块具备网格共节点</t>
  </si>
  <si>
    <t>界面重构版本电机模块支持二维电机剖分的网格共节点。
1.打开软件，建立电机模型，剖分网格，生成的网格在边界上保证共节点。
2.使用已有几何文件测试算例，无需技术服务部及测试部额外制作算例。</t>
  </si>
  <si>
    <t>当前版本不支持封闭几何模型的均匀六面体网格网格生成（保持曲面特征）</t>
  </si>
  <si>
    <t>具备对于任意几何模型的均匀六面体网格生成（保持曲面特征）</t>
  </si>
  <si>
    <t>支持输入尺寸对封闭几何体进行六面体网格生成（保持曲面特征），生成的六面体网格与给定的几何模型之间的
豪斯多夫距离小于1%。
1. 打开软件，选择测试模型进行导入，根据给定尺寸生成内部均匀的六面体网格生成（保持曲面特征）。
2. 使用已有几何文件测试算例，无需技术服务部及测试部额外制作算例。</t>
  </si>
  <si>
    <t>殷思麒</t>
  </si>
  <si>
    <t>当前MxSim.GUI.3.0版本只支持部分网格功能模块</t>
  </si>
  <si>
    <t>网格自定义剖分模块、网格变换模块、网格质量检测模块、网格手动生成模块、网格信息统计模块、网格重剖分模块、网格文件导出模块。</t>
  </si>
  <si>
    <t xml:space="preserve">网格自定义剖分模块：支持拾取线、面、体创建包围盒\球进行自定义区域加密；支持创建包围盒\球\圆柱进行自定义区域加密；
网格变换模块：支持对网格进行旋转、平移、镜像、阵列变换操作；
网格质量检测模块：支持1D 2D 3D 网格进行质量检测；
网格手动生成模块： 支持网格通过拉伸、扫掠等手动生成；
网格信息统计模块：支持统计网格类型等信息；
网格重剖分模块：支持对已有网格进行重剖分；
网格文件导出模块：支持对已有网格进行不同格式的导出（inp stl obj vtk 等）；
</t>
  </si>
  <si>
    <t>支持在MxSim.GUI.3.0版本中具备以下网格功能模块:
网格自定义剖分模块：支持拾取线、面、体创建包围盒\球进行自定义区域加密；支持创建包围盒\球\圆柱进行自定义区域加密；
网格变换模块：支持对网格进行旋转、平移、镜像、阵列变换操作；
网格质量检测模块：支持1D 2D 3D 网格进行质量检测；
网格手动生成模块： 支持网格通过拉伸、扫掠等手动生成；
网格信息统计模块：支持统计网格类型等信息；
网格重剖分模块：支持对已有网格进行重剖分；
网格文件导出模块：支持对已有网格进行不同格式的导出（inp stl obj vtk 等）；
（2）使用已有几何/网格文件测试算例，无需技术服务部及测试部额外制作算例。</t>
  </si>
  <si>
    <t>当前不支持齿槽转矩分析时，定子自动截断定子齿部分，对齿部分网格进行精细剖分，定子轭部网格粗剖分</t>
  </si>
  <si>
    <t>支持齿槽转矩分析时，定子自动截断定子齿部分，对齿部分网格进行精细剖分，定子轭部网格粗剖分功能</t>
  </si>
  <si>
    <t>具备齿槽转矩分析时，定子自动截断定子齿部分，对齿部分网格进行精细剖分，定子轭部网格粗剖分功能</t>
  </si>
  <si>
    <t xml:space="preserve">具备齿槽转矩分析时，定子自动截断定子齿部分，对齿部分网格进行精细剖分，定子轭部网格粗剖分功能。
1. 打开软件，进行齿槽转矩分析时，定子自动截断定子齿部分，对齿部分网格进行精细剖分，定子轭部网格粗剖分。
2. 使用已有几何/网格文件测试算例，无需技术服务部及测试部额外制作算例。
</t>
  </si>
  <si>
    <t>当前版本不支持复杂工程部件的STL网格一键生成</t>
  </si>
  <si>
    <t>支持复杂工程部件的STL模型三角形网格自动生成</t>
  </si>
  <si>
    <t>支持类似转向架、曲面铸件等复杂工程算例的STL模型三角形网格自动生成</t>
  </si>
  <si>
    <t>支持类似转向架、曲面铸件等复杂工程算例的STL模型表面三角网格自动生成。
验收过程：
1.打开软件，导入测试STL模型文件，输入剖分尺寸后点击剖分，可自动生成均匀三角网格。
2.使用已有几何文件测试算例，无需技术服务部及测试部额外制作算例。</t>
  </si>
  <si>
    <t>黄育民</t>
  </si>
  <si>
    <t>市场需求</t>
  </si>
  <si>
    <t>云泊</t>
  </si>
  <si>
    <t>云泊商业项目</t>
  </si>
  <si>
    <t>云泊开发项目</t>
  </si>
  <si>
    <t>云泊界面开发</t>
  </si>
  <si>
    <t>根据项目需求完成云泊项目开发工作</t>
  </si>
  <si>
    <t>无需算例，无需内部迭代测试</t>
  </si>
  <si>
    <t>通用CAE前后处理和网格剖分引擎二期攻关项目（商业项目）V1.0.4</t>
  </si>
  <si>
    <t>界面优化电机版本不支持二维三角形一键网格剖分需求</t>
  </si>
  <si>
    <t>支持二维三角形一键网格剖分需求</t>
  </si>
  <si>
    <t>电机软件支持二维三角形一键网格剖分</t>
  </si>
  <si>
    <t>1、打开软件，支持网格生成前，各部件网格尺寸设置、部件边界网格尺寸设置以及曲线近似网格设置等操作，
所有网格设置完成后，点击生成，一键生成部件所有网格；气隙处要根据不同分析特殊处理外，
其他相邻部件间要保证共节点的需求
2.使用已有几何文件测试算例，无需技术服务部及测试部额外制作算例。</t>
  </si>
  <si>
    <t>当前版本不支持部件面网格尺寸大小设置</t>
  </si>
  <si>
    <t>支持部件面网格尺寸大小设置</t>
  </si>
  <si>
    <t>电机软件支持部件面网格尺寸大小设置</t>
  </si>
  <si>
    <t>1. 打开软件，界面支持部件面网格尺寸大小设置，通过拾取部件，对部件面网格进行大小设置，可以和体网格一起设置，
最后一键网格剖分生成所有；
2.使用已有几何文件测试算例，无需技术服务部及测试部额外制作算例。</t>
  </si>
  <si>
    <t>当前MxSim.GUI.2.0版本只支持部分网格功能模块</t>
  </si>
  <si>
    <t>网格变换模块、网格质量检测模块、
网格重剖分模块、网格文件导出模块。</t>
  </si>
  <si>
    <t>网格变换模块：支持对网格进行旋转、平移、镜像、阵列变换操作；
网格质量检测模块：支持1D 2D 3D 网格进行质量检测；
网格重剖分模块：支持对已有网格进行重剖分；
网格文件导出模块：支持对已有网格进行不同格式的导出（inp stl obj vtk 等）；</t>
  </si>
  <si>
    <t>1.支持在MxSim.GUI.3.0版本中具备以下网格功能模块:
网格变换模块：支持对网格进行旋转、平移、镜像、阵列变换操作；
网格质量检测模块：支持1D 2D 3D 网格进行质量检测；
网格重剖分模块：支持对已有网格进行重剖分；
网格文件导出模块：支持对已有网格进行不同格式的导出（inp stl obj vtk 等）；
2.使用已有几何/网格文件测试算例，无需技术服务部及测试部额外制作算例。</t>
  </si>
  <si>
    <t>2.27创建子任务，工时均归属黄育民</t>
  </si>
  <si>
    <t>多物理场与智算平台-航天一院</t>
  </si>
  <si>
    <t>MxSim.CFD</t>
  </si>
  <si>
    <t>当前版本不支持Mx.CFD要求的流体域的结构化六面体边界层网格</t>
  </si>
  <si>
    <t>支持流体域的结构化六面体边界层</t>
  </si>
  <si>
    <t>为分块六面体模型的各向异性纯六面体共节点网格生成提供技术支持</t>
  </si>
  <si>
    <t>李政斌</t>
  </si>
  <si>
    <t>MxSim.CFD可压流体软件开发项目-GUI-V2.0.0</t>
  </si>
  <si>
    <t>当前版本在凹角处容易提前发生碰撞，自适应控制推进方向与距离的算法不完善。</t>
  </si>
  <si>
    <t>支持基于椭圆偏微分方程的全局边界层网格生成方法。</t>
  </si>
  <si>
    <t>支持基于椭圆偏微分方程的边界层网格生成算法，可以生成全局的边界层网格</t>
  </si>
  <si>
    <t>对于多数无复杂几何特征，无奇异拓扑结构的全模型，软件可以生成全局边界层网格。 
1. 导入全模型的几何模型，设定壁面与非壁面，设定初始层厚与层厚增长率以及最大层数，生成全局边界层网格。
2. 使用已有几何文件测试算例，无需技术服务部及测试部额外制作算例。</t>
  </si>
  <si>
    <t>当前版本的边界层生成算法为独立算法库，与几何网格渲染的耦合性不足，需要提升交互效率。</t>
  </si>
  <si>
    <t>提供基于MxMesh的边界层生成标准接口</t>
  </si>
  <si>
    <t>支持在MxMesh中可以通过标准接口调用边界层生成算法</t>
  </si>
  <si>
    <t>支持在Mx.Mech软件或其余软件中使用GUI界面调用边界层网格生成功能 。
1. 导入全模型/半模型/管道模型的几何模型，设定壁面与非壁面，设定初始层厚与层厚增长率以及最大层数，生成边界层网格。
2. 使用已有几何文件测试算例，无需技术服务部及测试部额外制作算例。</t>
  </si>
  <si>
    <t>当前版本不支持Mx.motor要求的电机圆柱气隙专用网格</t>
  </si>
  <si>
    <t>支持电机圆柱气隙专用的band网格</t>
  </si>
  <si>
    <t>支持生成电机的气隙部分网格，可以生成电机气隙部分所需的band网格。</t>
  </si>
  <si>
    <t>支持在Mx.Motor中生成电机圆柱气隙所需的band网格 。
1.打开软件，用户可以独立设定气隙部分网格，通过设置其映射角度，其映射角度设置存在一定范围，比如0.05-3deg左右，设置完成后，通过一键生成网格。
2. 使用已有几何文件测试算例，无需技术服务部及测试部额外制作算例。</t>
  </si>
  <si>
    <t>当前版本不支持边界层网格正交性优化</t>
  </si>
  <si>
    <t>优化边界层网格质量</t>
  </si>
  <si>
    <t>提升边界层网格的正交性</t>
  </si>
  <si>
    <t>提升边界层网格的正交性 。
1. 输入完整无自交的边界层网格，选择边界层网格质量优化，设定迭代次数与收敛容差，迭代提升边界层网格的正交性。
2. 使用已有几何文件测试算例，无需技术服务部及测试部额外制作算例。</t>
  </si>
  <si>
    <t>CG</t>
  </si>
  <si>
    <t>界面重构渲染层迁移</t>
  </si>
  <si>
    <t>1. 将渲染层迁出交互相关功能为交互层，并针对前处理、后处理提供额外的前处理/后处理交互层，降低渲染层耦合性
2. 优化界面功能在交互层的对应关系，抽象统一的tool基类，提高拓展性，加快后续草图等交互功能开发效率</t>
  </si>
  <si>
    <t>验收标准：无需算例，
1. 保证迁移后渲染相关功能能够正常使用</t>
  </si>
  <si>
    <t>林家正</t>
  </si>
  <si>
    <t>p1</t>
  </si>
  <si>
    <t>p2</t>
  </si>
  <si>
    <t>草图功能开发</t>
  </si>
  <si>
    <t>1. 为草图创建提供基础吸附功能，可吸附对其参考网格、已存在几何</t>
  </si>
  <si>
    <t>验收标准：无需算例，可以直接在软件中进行创建，效果与spaceclaim类似
1. 保证吸附的可视化效果与实际位置一致
2. 能够正确与创建功能联动</t>
  </si>
  <si>
    <t>SpaceClaim</t>
  </si>
  <si>
    <t>产品主动规划需求</t>
  </si>
  <si>
    <t>motor渲染版本迁移</t>
  </si>
  <si>
    <t>1. 将渲染从rebuild版本迁移到界面重构版本
2. 保证前处理、后处理功能在移植后正常
3. 保证电机开发的新功能在迁移后正常</t>
  </si>
  <si>
    <t>验收标准：无需算例
1. 保证原有渲染功能与相对于界面重构版本的新功能在迁移后正常运行</t>
  </si>
  <si>
    <t>Motor</t>
  </si>
  <si>
    <t>疲劳产品平台-自研</t>
  </si>
  <si>
    <t>MxSim.Fatigue</t>
  </si>
  <si>
    <t>华为云渲染引擎接入</t>
  </si>
  <si>
    <t>1. 配合对疲劳所需渲染功能使用华为云渲染引擎接入替代</t>
  </si>
  <si>
    <t>验收标准：无需算例
1. 使用华为云渲染引擎替代疲劳的渲染功能，保证原有渲染功能在使用华为云渲染引擎的前提下正常运行</t>
  </si>
  <si>
    <t>潜森伟</t>
  </si>
  <si>
    <t>MxSim.Fatigue疲劳软件-通用-GUI-V3.0.0</t>
  </si>
  <si>
    <t>草图</t>
  </si>
  <si>
    <t>1. 提供对二维几何创建的功能：线、圆、矩形、切线、样条曲线、椭圆、圆弧
2. 可以通过拾取选择草图平面，并且带有预览功能</t>
  </si>
  <si>
    <t>验收标准：无需算例，可以直接在软件中进行创建，效果与spaceclaim类似
1. 可以正确创建对应二维几何
2. 能够正确确定草图平面</t>
  </si>
  <si>
    <t>张国海</t>
  </si>
  <si>
    <t>1. 对创建中的尺寸给出标识效果，且随尺寸变化自适应大小与位置
2. 对于创建中的相关参数给出可编辑标签，编辑会与鼠标位置、尺寸标识正常联动</t>
  </si>
  <si>
    <t>验收标准：无需算例，可以直接在软件中进行，效果与spaceclaim类似
1. 标识能够正常随创建时的鼠标移动正常自适应
2. 标识的参数块可编辑，并且编辑确认后可以正确修改联动鼠标位置与尺寸</t>
  </si>
  <si>
    <t>网格编辑</t>
  </si>
  <si>
    <t>1. 对于网格提供单一网格节点在某一参考平面上的的可交互式移动功能</t>
  </si>
  <si>
    <t>验收标准：无需算例，可以直接在软件中进行创建
1. 能够正确修改网格中的单一节点</t>
  </si>
  <si>
    <t>流体注释功能</t>
  </si>
  <si>
    <t>具备流体注释功能以及注释相关的鼠标交互功能</t>
  </si>
  <si>
    <t>添加注释，包括文字、二维线、三维箭头以及导入log等，所有注释均可通过鼠标拖动至所需位置。</t>
  </si>
  <si>
    <t>3.17新增此任务</t>
  </si>
  <si>
    <t xml:space="preserve">1. 对于倒角、拉伸、平移、旋转功能提供可交互式编辑功能
</t>
  </si>
  <si>
    <t>验收标准：无需算例，可以直接在软件中进行创建
1. 正确拾取目标几何线、体，显示对应控件
2. 正确通过移动控件，实时生成对应效果</t>
  </si>
  <si>
    <t>3.17删除此任务，原工时为20人天</t>
  </si>
  <si>
    <t>渲染相关的管理工作</t>
  </si>
  <si>
    <t>无需验收</t>
  </si>
  <si>
    <t>彭武绍</t>
  </si>
  <si>
    <t>显式动力学平台-自研</t>
  </si>
  <si>
    <t>MxSim.Dyna</t>
  </si>
  <si>
    <t>mpi类型限制或提示</t>
  </si>
  <si>
    <t>使用mpi版本是需要用bat脚本提交，不是exe，建议界面能够提示一下，或者限制一下</t>
  </si>
  <si>
    <t>验收过程：
1.打开软件，进行软件操作，满足*关键规格与描述，满足需求文档中或项目的具体需求。
测试部门：产品测试部</t>
  </si>
  <si>
    <t>MXDynaBatchRUN</t>
  </si>
  <si>
    <t>向强</t>
  </si>
  <si>
    <t>MxSim.Dyna-通用-GUI-V3.0.4</t>
  </si>
  <si>
    <t>重复算例重编号（显隐）</t>
  </si>
  <si>
    <t>选择的算例文件夹下有k和mx在一起时会计算两次
当遍历一个文件夹，里面同时存在k mx或者abaqus mx的时候，只提取商软文件作为批量计算的文件。只有当文件夹里面不存在商软文件时，才回将mx文件作为批量计算目标，可以在抓取计算文件的时候，给文件名加上一个序号</t>
  </si>
  <si>
    <t>MXDynaBatchRUN/
MXMechBatchRUN</t>
  </si>
  <si>
    <t>终止当前算例（显隐）</t>
  </si>
  <si>
    <t>批处理提交之后，希望实现单独中止一个算例的计算，进入下一个算例计算，允许手动选择，类似求解器提交按 ctrl+c 会跳过当前这个（mx  和 lsdyna 和 abaqus  都要做）</t>
  </si>
  <si>
    <t>自定义命令（显隐）</t>
  </si>
  <si>
    <t>可以自主添加命令以及后缀，后缀如-f，-fdump等</t>
  </si>
  <si>
    <t>abaqus inp文件计算结果对比</t>
  </si>
  <si>
    <t>新增abaqus inp文件计算结果对比功能</t>
  </si>
  <si>
    <t>批处理工具关键字对齐（显隐）</t>
  </si>
  <si>
    <t>批处理工具求解器与界面关键字对齐</t>
  </si>
  <si>
    <t>dyna界面重构</t>
  </si>
  <si>
    <t>MxDyna V3.0</t>
  </si>
  <si>
    <t>MxSim.AI</t>
  </si>
  <si>
    <t>AI模型树</t>
  </si>
  <si>
    <t>按照项目要求完成开发</t>
  </si>
  <si>
    <t>1、打开软件，进行操作，满足具体需求</t>
  </si>
  <si>
    <t>肖志钢</t>
  </si>
  <si>
    <t>MxSim.AI-通用-GUI-V1.0.0</t>
  </si>
  <si>
    <t>仿真模型树</t>
  </si>
  <si>
    <t>渲染窗口</t>
  </si>
  <si>
    <t>李靓杰</t>
  </si>
  <si>
    <t>新建数据集</t>
  </si>
  <si>
    <t>开发新建仿真数据集、新建训练数据集界面及功能。</t>
  </si>
  <si>
    <t>3.10变更基线，人天从10变成15</t>
  </si>
  <si>
    <t>文件管理</t>
  </si>
  <si>
    <t>项目过程中生成的文件的落盘和起盘</t>
  </si>
  <si>
    <t>撤销/重做</t>
  </si>
  <si>
    <t>开发软件操作过程中对功能步骤进行撤销和重做的功能。</t>
  </si>
  <si>
    <t>数据中台</t>
  </si>
  <si>
    <t>智能计算</t>
  </si>
  <si>
    <t>3.10变更基线，人天从8变成11</t>
  </si>
  <si>
    <t>智能训练与评估</t>
  </si>
  <si>
    <t>智能训练与评估界面</t>
  </si>
  <si>
    <t>智能训练与评估功能</t>
  </si>
  <si>
    <t>界面美化</t>
  </si>
  <si>
    <t>操作逻辑优化</t>
  </si>
  <si>
    <t>热点损伤区域检测</t>
  </si>
  <si>
    <t>接入热点损伤区域检测算法代码</t>
  </si>
  <si>
    <t>验收过程：
1.打开软件，进行软件操作，满足*关键规格与描述，满足需求文档中或项目的具体需求。
验证算例例子：
1.使用求解器测试算例，无需技术服务部及测试部额外制作算例。
测试部门：产品测试部</t>
  </si>
  <si>
    <t>nCode</t>
  </si>
  <si>
    <t>张开元</t>
  </si>
  <si>
    <t>材料参数自动修正功能（国重项目需求）</t>
  </si>
  <si>
    <t>修改参数拟合界面，新增界面参数</t>
  </si>
  <si>
    <t>验收过程：
1.打开软件，进行软件操作，满足*关键规格与描述，满足需求文档中或项目的具体需求。
验证算例例子：
2.使用求解器测试算例，无需技术服务部及测试部额外制作算例。
测试部门：产品测试部</t>
  </si>
  <si>
    <t>界面适配mxdb格式</t>
  </si>
  <si>
    <t>界面适配mxdb格式文件加载，包括生成xml，读取工况，后处理云图（014项目需求）</t>
  </si>
  <si>
    <t>验收过程：
1.打开软件，进行软件操作，满足*关键规格与描述，满足需求文档中或项目的具体需求。
验证算例例子：
4.使用求解器测试算例，无需技术服务部及测试部额外制作算例。
测试部门：产品测试部</t>
  </si>
  <si>
    <t>路谱载荷损伤占比</t>
  </si>
  <si>
    <t>新增一个显示路谱载荷损伤占比节点显示路谱损伤占比</t>
  </si>
  <si>
    <t>验收过程：
1.打开软件，进行软件操作，满足*关键规格与描述，满足需求文档中或项目的具体需求。
验证算例例子：
5.使用求解器测试算例，无需技术服务部及测试部额外制作算例。
测试部门：产品测试部</t>
  </si>
  <si>
    <t>铆接界面</t>
  </si>
  <si>
    <t>开发铆接分析节点和铆接分析材料节点</t>
  </si>
  <si>
    <t>验收过程：
1.打开软件，进行软件操作，满足*关键规格与描述，满足需求文档中或项目的具体需求。
验证算例例子：
7.使用求解器测试算例，无需技术服务部及测试部额外制作算例。
测试部门：产品测试部</t>
  </si>
  <si>
    <t>结果数据输出</t>
  </si>
  <si>
    <t>参考nCode2019，软件支持输出特定位置雨流计数后的统计结果，包括雨流幅值范围、平均值，点数等，能以表格和直方图的形式表现，方便用户分析。
软件支持输出特定位置的应力应变载荷谱数据并在界面中显示，方便用户分析。
软件支持输出特定位置的PSD计数结果数据并在界面中显示，方便用户分析。
软件支持输出特定位置的扫频计数结果数据并在界面中显示，方便用户分析。
软件支持输出特定位置的输出指定单元的定频计数结果数据并在界面中显示，方便用户分析。</t>
  </si>
  <si>
    <t>验收过程：
1.打开软件，进行软件操作，满足*关键规格与描述，满足需求文档中或项目的具体需求。
验证算例例子：
8.使用求解器测试算例，无需技术服务部及测试部额外制作算例。
测试部门：产品测试部</t>
  </si>
  <si>
    <t>支持显示载荷谱和有限元模型应力载荷雨流幅值显示。</t>
  </si>
  <si>
    <t>验收过程：
1.打开软件，进行软件操作，满足*关键规格与描述，满足需求文档中或项目的具体需求。
验证算例例子：
9.使用求解器测试算例，无需技术服务部及测试部额外制作算例。
测试部门：产品测试部</t>
  </si>
  <si>
    <t>ODS振型显示功能</t>
  </si>
  <si>
    <t>参考nCode2019，软件支持显示构件工作变形振型，便于用户观察结构在工作载荷下的动态响应。</t>
  </si>
  <si>
    <t>验收过程：
1.打开软件，进行软件操作，满足*关键规格与描述，满足需求文档中或项目的具体需求。
验证算例例子：
10.使用求解器测试算例，无需技术服务部及测试部额外制作算例。
测试部门：产品测试部</t>
  </si>
  <si>
    <t>载荷伪损伤计算</t>
  </si>
  <si>
    <t>参考nCode2019，开发载荷谱伪损伤计算功能，以便快速评估载荷对结构的潜在影响。</t>
  </si>
  <si>
    <t>验收过程：
1.打开软件，进行软件操作，满足*关键规格与描述，满足需求文档中或项目的具体需求。
验证算例例子：
11.使用求解器测试算例，无需技术服务部及测试部额外制作算例。
测试部门：产品测试部</t>
  </si>
  <si>
    <t>随机载荷数据统计与显示功能</t>
  </si>
  <si>
    <t>参考nCode2019，计算信号的各种统计学数据，包括平均值、均方根、标准差、方差、偏度、峰度和峰值因子并以柱状图、曲线、二维热力图显示，构建多维度的载荷损伤特征识别体系。</t>
  </si>
  <si>
    <t>验收过程：
1.打开软件，进行软件操作，满足*关键规格与描述，满足需求文档中或项目的具体需求。
验证算例例子：
12.使用求解器测试算例，无需技术服务部及测试部额外制作算例。
测试部门：产品测试部</t>
  </si>
  <si>
    <t>时序载荷生成器优化</t>
  </si>
  <si>
    <t>时序载荷生成器与时域分析节点进行结合，实现数据传递</t>
  </si>
  <si>
    <t>验收过程：
1.打开软件，进行软件操作，满足*关键规格与描述，满足需求文档中或项目的具体需求。
验证算例例子：
13.使用求解器测试算例，无需技术服务部及测试部额外制作算例。
测试部门：产品测试部</t>
  </si>
  <si>
    <t>频域载荷生成器优化</t>
  </si>
  <si>
    <t>扫频、定频、随机振动生成器</t>
  </si>
  <si>
    <t>验收过程：
1.打开软件，进行软件操作，满足*关键规格与描述，满足需求文档中或项目的具体需求。
验证算例例子：
14.使用求解器测试算例，无需技术服务部及测试部额外制作算例。
测试部门：产品测试部</t>
  </si>
  <si>
    <t>材料库管理优化</t>
  </si>
  <si>
    <t>材料库管理功能优化：材料库设置为独立窗口，支持永久保存所读入材料库，材料库内材料支持多选、反选、下拉选择多种方式，增加材料搜索功能；</t>
  </si>
  <si>
    <t>验收过程：
1.打开软件，进行软件操作，满足*关键规格与描述，满足需求文档中或项目的具体需求。
验证算例例子：
15.使用求解器测试算例，无需技术服务部及测试部额外制作算例。
测试部门：产品测试部</t>
  </si>
  <si>
    <t>求解选项新增</t>
  </si>
  <si>
    <t>多R值应力寿命曲线求解方法、多平均应力寿命曲线求解方法\多R值应变寿命曲线求解方法\多平均应变寿命曲线求解方法</t>
  </si>
  <si>
    <t>验收过程：
1.打开软件，进行软件操作，满足*关键规格与描述，满足需求文档中或项目的具体需求。
验证算例例子：
16.使用求解器测试算例，无需技术服务部及测试部额外制作算例。
测试部门：产品测试部</t>
  </si>
  <si>
    <t>渲染读取效率优化</t>
  </si>
  <si>
    <t>配合魏振国优化后处理导入效率</t>
  </si>
  <si>
    <t>验收过程：
1.打开软件，进行软件操作，满足*关键规格与描述，满足需求文档中或项目的具体需求。
验证算例例子：
17.使用求解器测试算例，无需技术服务部及测试部额外制作算例。
测试部门：产品测试部</t>
  </si>
  <si>
    <t>焊缝部件识别功能嵌入界面</t>
  </si>
  <si>
    <t>验收过程：
1.打开软件，进行软件操作，满足*关键规格与描述，满足需求文档中或项目的具体需求。
验证算例例子：
18.使用求解器测试算例，无需技术服务部及测试部额外制作算例。
测试部门：产品测试部</t>
  </si>
  <si>
    <t>冲击响应谱计算接入多线程</t>
  </si>
  <si>
    <t>冲击响应谱分析支持多线程计算多个通道</t>
  </si>
  <si>
    <t>验收过程：
1.打开软件，进行软件操作，满足*关键规格与描述，满足需求文档中或项目的具体需求。
验证算例例子：
19.使用求解器测试算例，无需技术服务部及测试部额外制作算例。
测试部门：产品测试部</t>
  </si>
  <si>
    <t>信号处理弹窗界面优化</t>
  </si>
  <si>
    <t>信号处理模块弹窗里的设置参数统一左对齐</t>
  </si>
  <si>
    <t>验收过程：
1.打开软件，进行软件操作，满足*关键规格与描述，满足需求文档中或项目的具体需求。
验证算例例子：
20.使用求解器测试算例，无需技术服务部及测试部额外制作算例。
测试部门：产品测试部</t>
  </si>
  <si>
    <t>设置焊缝材料的默认参数</t>
  </si>
  <si>
    <t>焊缝材料设置默认材料为Seam_steel</t>
  </si>
  <si>
    <t>验收过程：
1.打开软件，进行软件操作，满足*关键规格与描述，满足需求文档中或项目的具体需求。
验证算例例子：
21.使用求解器测试算例，无需技术服务部及测试部额外制作算例。
测试部门：产品测试部</t>
  </si>
  <si>
    <t>扫频分析节点，扫频速率与扫频区间调换行</t>
  </si>
  <si>
    <t>验收过程：
1.打开软件，进行软件操作，满足*关键规格与描述，满足需求文档中或项目的具体需求。
验证算例例子：
27.使用求解器测试算例，无需技术服务部及测试部额外制作算例。
测试部门：产品测试部</t>
  </si>
  <si>
    <t>频域载荷生成器连接随机振动，扫频，定频分析节点</t>
  </si>
  <si>
    <t>验收过程：
1.打开软件，进行软件操作，满足*关键规格与描述，满足需求文档中或项目的具体需求。
验证算例例子：
28.使用求解器测试算例，无需技术服务部及测试部额外制作算例。
测试部门：产品测试部</t>
  </si>
  <si>
    <t>MxSim.Post</t>
  </si>
  <si>
    <t>切面图</t>
  </si>
  <si>
    <t>根据项目需求完成隐式后处理界面开发</t>
  </si>
  <si>
    <t>Ansys-Mechanical</t>
  </si>
  <si>
    <t>3级</t>
  </si>
  <si>
    <t>孙当君</t>
  </si>
  <si>
    <t>等值面图</t>
  </si>
  <si>
    <t>3.10变更基线，人天从3变成5</t>
  </si>
  <si>
    <t>曲线功能</t>
  </si>
  <si>
    <t>3.10变更基线，人天从18变成25</t>
  </si>
  <si>
    <t>刘学文</t>
  </si>
  <si>
    <t>3.10变更基线，人天从66变成16</t>
  </si>
  <si>
    <t>783项目</t>
  </si>
  <si>
    <t>旋罩环境下大口径数字阵虚拟验证仿真软件开发</t>
  </si>
  <si>
    <t>783项目显式、隐式、流体、疲劳四个前处理软件和平台的接口适配和适配；
后处理文件的接口和功能适配</t>
  </si>
  <si>
    <t>客户验收</t>
  </si>
  <si>
    <t>邬志强</t>
  </si>
  <si>
    <t>783-旋罩环境下大口径数字阵虚拟验证仿真条件V0.0.0</t>
  </si>
  <si>
    <t>界面重构-与修改</t>
  </si>
  <si>
    <t>按照界面重构项目组计划和要求进行</t>
  </si>
  <si>
    <t>界面重构-前处理</t>
  </si>
  <si>
    <t>1、根据项目需求完成隐式界面开发
2、完成已对齐关键字的mx文件读写</t>
  </si>
  <si>
    <t>宋维超</t>
  </si>
  <si>
    <t>界面重构-工程文件</t>
  </si>
  <si>
    <t>完成已对齐的所有关键字工程文件的读写</t>
  </si>
  <si>
    <t>界面重构-多分析并行求解</t>
  </si>
  <si>
    <t>1、支持选定分析与所有分析一同求解器，通过并行导出文件与同时求解
2、解决多线程导出时，映射数据冲突问题</t>
  </si>
  <si>
    <t>界面重构-底层数据</t>
  </si>
  <si>
    <t>1、维护现有数据接口
2、根据其他模块需求添加新接口</t>
  </si>
  <si>
    <t>界面重构-模型树</t>
  </si>
  <si>
    <t>1、优化模型树使用体验
2、添加新节点与新接口
3、模型树节点状态更新</t>
  </si>
  <si>
    <t>多物理场智算平台-自研</t>
  </si>
  <si>
    <t>多边形网格支持</t>
  </si>
  <si>
    <t>1.支持流体多边形、多面体网格信息</t>
  </si>
  <si>
    <t>Ansys-Fluent</t>
  </si>
  <si>
    <t>界面重构-映射数据</t>
  </si>
  <si>
    <t>1、添加新映射的映射关系
2、映射关系对应的信息输出窗口
3、映射关系对应的模型树节点状态</t>
  </si>
  <si>
    <t>根据项目需求完成隐式界面开发</t>
  </si>
  <si>
    <t>李瑞阳</t>
  </si>
  <si>
    <t>界面重构-网格自定义剖分模块</t>
  </si>
  <si>
    <t>支持拾取线、面、体创建包围盒\球进行自定义区域加密；支持创建包围盒\球\圆柱进行自定义区域加密；</t>
  </si>
  <si>
    <t>界面重构-网格变换模块</t>
  </si>
  <si>
    <t>支持对网格进行旋转、平移、镜像、阵列变换操作</t>
  </si>
  <si>
    <t>界面重构-网格质量检测模块</t>
  </si>
  <si>
    <t>支持1D 2D 3D 网格进行质量检测</t>
  </si>
  <si>
    <t>界面重构-网格手动生成模块</t>
  </si>
  <si>
    <t>支持网格通过拉伸、扫掠等手动生成</t>
  </si>
  <si>
    <t>界面重构-网格信息统计模块</t>
  </si>
  <si>
    <t>支持统计网格类型等信息</t>
  </si>
  <si>
    <t>界面重构-网格重剖分模块</t>
  </si>
  <si>
    <t>支持对已有网格进行重剖分</t>
  </si>
  <si>
    <t>界面重构-网格文件导出模块</t>
  </si>
  <si>
    <t>支持对已有网格进行不同格式的导出（inp stl obj vtk 等）</t>
  </si>
  <si>
    <t>界面重构-界面美化</t>
  </si>
  <si>
    <t>航天一院</t>
  </si>
  <si>
    <t>航天一院通用结构和显式动力学标书</t>
  </si>
  <si>
    <t>标书功能对齐与开发</t>
  </si>
  <si>
    <t>对接航天一院标书现有几何功能实现以及未有几何功能相应界面制作</t>
  </si>
  <si>
    <t>胡旭杰</t>
  </si>
  <si>
    <t>航天一院结构分析项目 V0.0.0</t>
  </si>
  <si>
    <t>3.10变更基线，人天从3变成2</t>
  </si>
  <si>
    <t>航天一院通用结构和显式动力学投标几何功能</t>
  </si>
  <si>
    <t>几何功能开发与材料提供</t>
  </si>
  <si>
    <t>提供航天一院演示划分六面体网格几何模型；开发调用相应exe文件读取catia文件功能；开发识别小型面自动合并面功能；修复面孔识别并去除对于闭合壳失败问题；提供识别并处理小面、小边、缝隙、抽取中面视频；</t>
  </si>
  <si>
    <t>3.10变更基线，人天从5变成2</t>
  </si>
  <si>
    <t>几何功能维护</t>
  </si>
  <si>
    <t>流体平台-自研</t>
  </si>
  <si>
    <t>几何清理功能开发</t>
  </si>
  <si>
    <t>新增几何流体域抽取功能、拼接、间距、缺失的面、检测并修复重复面功能</t>
  </si>
  <si>
    <t>相应功能经测试后符合交付需求</t>
  </si>
  <si>
    <t>渲染OpenGL适配性修改</t>
  </si>
  <si>
    <t>1.修改架构降低软件OpenGL所需的配置要求
2. 修复并排查渲染的遗留问题</t>
  </si>
  <si>
    <t>教育产品事业部-自研</t>
  </si>
  <si>
    <t>DTP产品市场调研与技术调研</t>
  </si>
  <si>
    <t>2026年2026年MxDTP-E数字实验平台V1.0.0</t>
  </si>
  <si>
    <t>MxSim.Multiphy</t>
  </si>
  <si>
    <t>三维绘图与二维曲线模块功能开发</t>
  </si>
  <si>
    <t>调研三维绘图与二维曲线模块功能需求与功能实现，满足MxSim.Fatigue与MxSim.Motor产品需求</t>
  </si>
  <si>
    <t>MxSim.Multiphy-通用-GUI-V1.0.0</t>
  </si>
  <si>
    <t>当前不支持基于双曲正切函数曲线的纯六面体网格拉伸生成功能</t>
  </si>
  <si>
    <t>基于双曲正切函数曲线的纯六面体网格拉伸生成功能</t>
  </si>
  <si>
    <t>具备基于双曲正切函数曲线的纯六面体网格拉伸生成功能</t>
  </si>
  <si>
    <t xml:space="preserve">具备基于双曲正切函数曲线的纯六面体网格拉伸生成功能，接收纯四边形网格根据双曲正切函数拉伸为纯六面体网格。
1. 打开软件，对几何面生成纯四边形网格，根据曲线选择双曲正切函数拉伸为纯六面体网格。
2. 使用已有几何/网格文件测试算例，无需技术服务部及测试部额外制作算例。
</t>
  </si>
  <si>
    <t>1</t>
  </si>
  <si>
    <t>3.10新增基线任务</t>
  </si>
  <si>
    <t>界面优化电机版本不支持部件边界网格尺寸大小设置</t>
  </si>
  <si>
    <t>支持部件边界网格尺寸大小设置</t>
  </si>
  <si>
    <t>电机软件支持部件边界网格尺寸大小设置</t>
  </si>
  <si>
    <t>1、打开软件，界面支持部件边界网格尺寸大小设置，每个部件单独设置完成后，可进行全部生成；
2.使用已有几何文件测试算例，无需技术服务部及测试部额外制作算例。</t>
  </si>
  <si>
    <t>界面开发</t>
  </si>
  <si>
    <t>根据需求文档和UI设计开发界面</t>
  </si>
  <si>
    <t>满足需求文档要求，通过UI验收标准</t>
  </si>
  <si>
    <t>温循疲劳分析流程</t>
  </si>
  <si>
    <t>开发温循疲劳分析节点，能够自动显示温度曲线，读取计算位置，以及xml文件读写</t>
  </si>
  <si>
    <t>获取op2文件的部件以及工况</t>
  </si>
  <si>
    <t>有限元模型读取并显示op2文件的部件以及工况</t>
  </si>
  <si>
    <t>多物理场智算平台-航天一院</t>
  </si>
  <si>
    <t>颜色表着色、灯光功能</t>
  </si>
  <si>
    <t>根据项目需求完成后处理界面开发</t>
  </si>
  <si>
    <t>注释功能</t>
  </si>
  <si>
    <t>添加注释，包括文字、二维线、三维箭头以及导入log等，所有注释均可通过鼠标拖动至所需位置</t>
  </si>
  <si>
    <t>视口同步</t>
  </si>
  <si>
    <t>添加后处理视口同步</t>
  </si>
  <si>
    <t>自定义截图功能</t>
  </si>
  <si>
    <t>1.截图界面优化。
2.自定义截图范围。</t>
  </si>
  <si>
    <t>主界面美化，工具栏添加，DockWiget三方库接入并美化</t>
  </si>
  <si>
    <t>基于ui设计稿，对现有软件的菜单栏，主界面、模型树和DockWidget进行优化，并添加工具栏</t>
  </si>
  <si>
    <t>MxSim.Motor集合功能重构</t>
  </si>
  <si>
    <t>基于界面重构当前数据，对集合的数据类进行重构。</t>
  </si>
  <si>
    <t>Mx文件读写代码重构和MxMt读写文件开发</t>
  </si>
  <si>
    <t>将mx文件读写适配界面重构后新的数据框架。开发mxmt工程文件读写功能。</t>
  </si>
  <si>
    <t>参数化建模数据保存逻辑修改</t>
  </si>
  <si>
    <t>重构参数化建模数据保存逻辑，将原来由保存模型数据改为保存界面数据，并在创建性能分析进行判断处理</t>
  </si>
  <si>
    <t>网格界面开发</t>
  </si>
  <si>
    <t>支持创建部件网格设置，部件边界网格设置，气隙圆柱网格设置以及相应网格操作。</t>
  </si>
  <si>
    <t>坐标系变换</t>
  </si>
  <si>
    <t>支持主坐标的设置，以及坐标系平移，坐标系旋转等坐标系变换功能</t>
  </si>
  <si>
    <t>几何建模界面开发</t>
  </si>
  <si>
    <t>支持点线面几何体创建</t>
  </si>
  <si>
    <t>菜单栏开发</t>
  </si>
  <si>
    <t>描述应该是基于ui设计稿开发菜单栏的界面和功能</t>
  </si>
  <si>
    <t>多体动力学软件开发</t>
  </si>
  <si>
    <t>开发多体动力学软件演示版本，不验收</t>
  </si>
  <si>
    <t>当前版本不支持任意形状梁
截面属性计算</t>
  </si>
  <si>
    <t>支持任意形状梁（实心/空心、开口/闭合）截面属性（翘曲无关属性：面积、质心、惯性矩、惯性积和翘曲相关属性：扭转常数 、剪切中心、未约束/约束情况下的翘曲常数）</t>
  </si>
  <si>
    <t>点击模型树-截面形状-鼠标右键菜单创建任意截面形状-点选几何点后自动构建闭合二维几何形状-</t>
  </si>
  <si>
    <t>hypermesh2022</t>
  </si>
  <si>
    <t>焊点材料功能优化</t>
  </si>
  <si>
    <t>焊点材料中，板1材料的泊松比选项需删除</t>
  </si>
  <si>
    <t>验收过程：
1.打开软件，进行软件操作，满足*关键规格与描述，满足需求文档中或项目的具体需求。
验证算例例子：
3.使用求解器测试算例，无需技术服务部及测试部额外制作算例。
测试部门：产品测试部</t>
  </si>
  <si>
    <t>界面分析节点设置选择项改为英文</t>
  </si>
  <si>
    <t>验收过程：
1.打开软件，进行软件操作，满足*关键规格与描述，满足需求文档中或项目的具体需求。
验证算例例子：
23.使用求解器测试算例，无需技术服务部及测试部额外制作算例。
测试部门：产品测试部</t>
  </si>
  <si>
    <t>界面设置选择项改为左对齐</t>
  </si>
  <si>
    <t>验收过程：
1.打开软件，进行软件操作，满足*关键规格与描述，满足需求文档中或项目的具体需求。
验证算例例子：
24.使用求解器测试算例，无需技术服务部及测试部额外制作算例。
测试部门：产品测试部</t>
  </si>
  <si>
    <t>多物理场软件开发</t>
  </si>
  <si>
    <t>多物理场软件调研，开发规划，需求分析，功能架构分析</t>
  </si>
  <si>
    <t>ANSYS Workbench</t>
  </si>
  <si>
    <t>有限元转换增加解析的obd选项，后处理功能适配abaqus转换模型</t>
  </si>
  <si>
    <t>1.有限元转换界面增加abaqus解析odb文件选项。
 2.后处理云图输出界面适配abaqus一二阶四面体、一二阶六面体、壳单元、梁单元、杆单元。
 3.增加abaqus解析的mxfa文件模型工况映射功能。</t>
  </si>
  <si>
    <t>验收过程：
1.打开软件，进行软件操作，满足*关键规格与描述，满足需求文档中或项目的具体需求。
验证算例例子：
29.使用求解器测试算例，无需技术服务部及测试部额外制作算例。
测试部门：产品测试部</t>
  </si>
  <si>
    <t>渲染红心组件适配</t>
  </si>
  <si>
    <t>使用华为云渲染引擎开发疲劳后处理界面，需要能够正常显示模型</t>
  </si>
  <si>
    <t>验收过程：
1.打开软件，进行软件操作，满足*关键规格与描述，满足需求文档中或项目的具体需求。
验证算例例子：
6.使用求解器测试算例，无需技术服务部及测试部额外制作算例。
测试部门：产品测试部</t>
  </si>
  <si>
    <t>几何参数化建模功能开发</t>
  </si>
  <si>
    <t>新增参数化构建风扇、PCB板等几何模型</t>
  </si>
  <si>
    <t>相应界面和功能符合技服需求，测试后满足交付需求</t>
  </si>
  <si>
    <t>当前版本不支持草图约束功能</t>
  </si>
  <si>
    <t>开发草图点重合、竖直－线段、竖直－两点、水平－线段、垂直、长度相等、半径相等、（椭圆 ）长短径相等、点在线上、相切、半径、角度、横向距离、纵向距离、长度约束功能</t>
  </si>
  <si>
    <t>点击草图模式后再点击各个约束图标即可对各类二维几何草图进行约束</t>
  </si>
  <si>
    <t>当前不支持分块六面体模型的各向异性纯六面体共节点网格生成功能</t>
  </si>
  <si>
    <t>分块六面体模型的各向异性纯六面体共节点网格生成功能</t>
  </si>
  <si>
    <t>具备分块六面体模型的各向异性纯六面体共节点网格生成功能</t>
  </si>
  <si>
    <t xml:space="preserve">具备分块六面体模型的各向异性纯六面体共节点网格生成功能，接收输入的分块几何模型以及输出对应的各向异性六面体网格文件。
1. 打开软件，选择测试模型进行导入手动进行六面体分块，各向异性纯六面体共节点网格生成。
2. 使用已有几何/网格文件测试算例，无需技术服务部及测试部额外制作算例。
</t>
  </si>
  <si>
    <t>界面优化电机版本不支持部件体网格尺寸大小设置</t>
  </si>
  <si>
    <t>支持部件体网格尺寸大小设置</t>
  </si>
  <si>
    <t>电机软件支持部件体网格尺寸大小设置</t>
  </si>
  <si>
    <t>1、打开软件，界面支持体网格尺寸大小设置，每个部件单独设置完成后，可进行全部生成；
2.使用已有几何文件测试算例，无需技术服务部及测试部额外制作算例。</t>
  </si>
  <si>
    <t>周期负载获取模型工况功能</t>
  </si>
  <si>
    <t>周期负载能获取工况数量，点击添加事件（从文件）按钮后，输出工况总数</t>
  </si>
  <si>
    <t>验收过程：
1.打开软件，进行软件操作，满足*关键规格与描述，满足需求文档中或项目的具体需求。
验证算例例子：
22.使用求解器测试算例，无需技术服务部及测试部额外制作算例。
测试部门：产品测试部</t>
  </si>
  <si>
    <t>3.10邮件取消基线任务</t>
  </si>
  <si>
    <t>有限元模型转换功能优化</t>
  </si>
  <si>
    <t>有限元转换功能，在用户点击转换按钮的时候（在调用hyperview转换op2文件为mxfa文件之前），先检查对应的mxfa和mxfa0文件是否被占用</t>
  </si>
  <si>
    <t>验收过程：
1.打开软件，进行软件操作，满足*关键规格与描述，满足需求文档中或项目的具体需求。
验证算例例子：
25.使用求解器测试算例，无需技术服务部及测试部额外制作算例。
测试部门：产品测试部</t>
  </si>
  <si>
    <t>可用数据中可选择多个载荷谱为一个周期负载</t>
  </si>
  <si>
    <t>验收过程：
1.打开软件，进行软件操作，满足*关键规格与描述，满足需求文档中或项目的具体需求。
验证算例例子：
26.使用求解器测试算例，无需技术服务部及测试部额外制作算例。
测试部门：产品测试部</t>
  </si>
  <si>
    <t>部件显隐操作</t>
  </si>
  <si>
    <t>爆炸图</t>
  </si>
  <si>
    <t>变形图</t>
  </si>
  <si>
    <t>报告功能</t>
  </si>
  <si>
    <t>总计天数</t>
  </si>
  <si>
    <t>总计月数</t>
  </si>
  <si>
    <t>预算小计</t>
  </si>
  <si>
    <t>总计预算</t>
  </si>
  <si>
    <t xml:space="preserve"> </t>
  </si>
  <si>
    <t>\\\</t>
  </si>
  <si>
    <t>MxSim单元材料产品基线表已完成基线核算，整个产品人力管道为0.98，明细如下:</t>
  </si>
  <si>
    <t>姓名</t>
  </si>
  <si>
    <t>在职/离职</t>
  </si>
  <si>
    <t>人员属性</t>
  </si>
  <si>
    <t>最早入职日期</t>
  </si>
  <si>
    <t>2025年当前已经规划人力预算月数</t>
  </si>
  <si>
    <t>2025年人力规划</t>
  </si>
  <si>
    <t>2025年人力预测</t>
  </si>
  <si>
    <t>2025年的人力实际核算</t>
  </si>
  <si>
    <t>2025年人力管道</t>
  </si>
  <si>
    <t>预留人力月数</t>
  </si>
  <si>
    <t>人力管道</t>
  </si>
  <si>
    <t>汇总</t>
  </si>
  <si>
    <t>总人力管道</t>
  </si>
  <si>
    <t>人员SAP部门</t>
  </si>
  <si>
    <t>费用来源部门</t>
  </si>
  <si>
    <t>2025年规划人力预算天</t>
  </si>
  <si>
    <t>基线任务安排（天）（1-12月）</t>
  </si>
  <si>
    <t>基线任务安排（1-12月）</t>
  </si>
  <si>
    <t>基线实际投入（天）截至到（9月）</t>
  </si>
  <si>
    <t>基线实际投入（天）截至到（12月31日）</t>
  </si>
  <si>
    <t>外协支撑（天数）</t>
  </si>
  <si>
    <t>工时记录1-9月份（天）</t>
  </si>
  <si>
    <t>外协+基线投入</t>
  </si>
  <si>
    <t>偏差（基线偏差）</t>
  </si>
  <si>
    <t>工时与基线偏差</t>
  </si>
  <si>
    <t>工时合理性复核</t>
  </si>
  <si>
    <t>产品技术部</t>
  </si>
  <si>
    <t>实习生</t>
  </si>
  <si>
    <t>已离职</t>
  </si>
  <si>
    <t>第一季度</t>
  </si>
  <si>
    <t>预算时间</t>
  </si>
  <si>
    <t>时间差额</t>
  </si>
  <si>
    <t>人员等级</t>
  </si>
  <si>
    <t>项目人工费工时定额</t>
  </si>
  <si>
    <t>单位：元</t>
  </si>
  <si>
    <t>序号</t>
  </si>
  <si>
    <t>人员职级分类</t>
  </si>
  <si>
    <t>内部预算定额</t>
  </si>
  <si>
    <t>外部收费定额</t>
  </si>
  <si>
    <t>备     注　</t>
  </si>
  <si>
    <t>费率（元/人天）</t>
  </si>
  <si>
    <t>费率（元/人月）</t>
  </si>
  <si>
    <t>实习</t>
  </si>
  <si>
    <t>1.项目人员费用定额依据公司研发薪酬职位体系表对应职级B职等起薪、福利、费用标准上浮一定系数（约10%）测定；
2.实习人员按P1级的50%预估；   3.本定额为2023年～2024年参考定额。</t>
  </si>
  <si>
    <t>P6</t>
  </si>
  <si>
    <t>P7</t>
  </si>
  <si>
    <t>单位：万元</t>
  </si>
  <si>
    <t>主要工作任务</t>
  </si>
  <si>
    <t>实习人月</t>
  </si>
  <si>
    <t>P1人天</t>
  </si>
  <si>
    <t>P2人天</t>
  </si>
  <si>
    <t>P3人天</t>
  </si>
  <si>
    <t>P4人天</t>
  </si>
  <si>
    <t>P5人天</t>
  </si>
  <si>
    <t>P6人天</t>
  </si>
  <si>
    <t>P7人天</t>
  </si>
  <si>
    <t>临聘人工费（实习）</t>
  </si>
  <si>
    <t>项目人工费（正式）</t>
  </si>
  <si>
    <t>MxDesign.NodeFlow开发</t>
  </si>
  <si>
    <t>MxDesign.Wizard开发</t>
  </si>
  <si>
    <t>合计</t>
  </si>
  <si>
    <t>说明：</t>
  </si>
  <si>
    <t>1.预算定额可以选择按人天或人月，测算时请选择对应预算定额。</t>
  </si>
  <si>
    <t>2.如栏次不够，请在合计栏前一栏添行。</t>
  </si>
  <si>
    <t>唐达</t>
  </si>
  <si>
    <t>龙旺</t>
  </si>
  <si>
    <t>任文杰</t>
  </si>
  <si>
    <t>文豪</t>
  </si>
  <si>
    <t>迈 曦 软 件 项 目 预 算 表</t>
  </si>
  <si>
    <t>项目名称</t>
  </si>
  <si>
    <t>迈曦多学科优化设计软件MxDesign</t>
  </si>
  <si>
    <t>项目类别</t>
  </si>
  <si>
    <t>自研</t>
  </si>
  <si>
    <t>项目号</t>
  </si>
  <si>
    <t>项目收入（A)</t>
  </si>
  <si>
    <t>项目费用类别</t>
  </si>
  <si>
    <t>项目费用明细</t>
  </si>
  <si>
    <t>项目组申报</t>
  </si>
  <si>
    <t>审核金额</t>
  </si>
  <si>
    <t>备      注</t>
  </si>
  <si>
    <t>项目人工</t>
  </si>
  <si>
    <t>1.项目人工费</t>
  </si>
  <si>
    <t>项目组报项目人员职级及工时，套用人工定额测算费用。</t>
  </si>
  <si>
    <t>2.临聘人工费</t>
  </si>
  <si>
    <t>项目组报项目实习人员工时，套用人工定额测算费用。</t>
  </si>
  <si>
    <t>小计</t>
  </si>
  <si>
    <t>项目实施成本</t>
  </si>
  <si>
    <t>1.材料费</t>
  </si>
  <si>
    <t>消耗的各种原材料、辅助材料、低值易耗品等的采购费用。</t>
  </si>
  <si>
    <t>2.燃料动力费</t>
  </si>
  <si>
    <t>直接消耗的各种燃料动力费用。</t>
  </si>
  <si>
    <t>3.测试化验加工费</t>
  </si>
  <si>
    <t>支付给外单位的检验、测试、化验及加工等费用。</t>
  </si>
  <si>
    <t>4.软件、仪器、设备购买及租赁费</t>
  </si>
  <si>
    <t>租用设备而发生的费用及购买设备、软件的费用。</t>
  </si>
  <si>
    <t>5.新产品设计费等</t>
  </si>
  <si>
    <t>新产品所发生的新产品设计费。 为新产品和新工艺的构思、开发和制造，进行工序、技术规范、操作特性方面的设计等发生的费用。</t>
  </si>
  <si>
    <t>6.出版/文献/信息传播/知识产权事务费</t>
  </si>
  <si>
    <t>出版费、资料费、专用软件购买费、软件许可费用、软件维保费用、购买咨询报告发生的费用、文献检索费、查新费、专业通信费、专利申请及其他知识产权事务等费用。</t>
  </si>
  <si>
    <t>7.专家咨询费</t>
  </si>
  <si>
    <t>支付给临时聘请的咨询专家的费用。</t>
  </si>
  <si>
    <t>8.差旅费</t>
  </si>
  <si>
    <t>开展业务调研、学术交流、项目实施等所发生的外埠差旅费、市内交通费用等。</t>
  </si>
  <si>
    <t>9.会议费</t>
  </si>
  <si>
    <t>开展学术研讨、咨询以及协调项目（含项目启动、阶段验收、半年及年度项目总结等）等活动而发生的会议费用。</t>
  </si>
  <si>
    <t>10.鉴定、评审、评估、验收费用</t>
  </si>
  <si>
    <t>聘请中介机构鉴定、评审、评估、验收费用及合作方项目验收等费用。</t>
  </si>
  <si>
    <t>11.其他支出</t>
  </si>
  <si>
    <t>项目委外费用</t>
  </si>
  <si>
    <t>委托研发费用</t>
  </si>
  <si>
    <t>公共费用分摊</t>
  </si>
  <si>
    <t>1、折旧费用</t>
  </si>
  <si>
    <t>财务按工时分摊。</t>
  </si>
  <si>
    <t>2、无形资产摊销</t>
  </si>
  <si>
    <t>3、公共费用分摊</t>
  </si>
  <si>
    <t>房租，日常水、电、气消耗，公共管理费用支出等。财务按工时分摊。</t>
  </si>
  <si>
    <t>项目费用合计（B）</t>
  </si>
  <si>
    <t>项目税金（C)</t>
  </si>
  <si>
    <t>项目边际贡献（D=A-B-C）</t>
  </si>
  <si>
    <t>审批签字</t>
  </si>
  <si>
    <t>项目经理签字</t>
  </si>
  <si>
    <t>审核人员签字</t>
  </si>
  <si>
    <t>1.项目类别分自研、商业、国拨三大类。</t>
  </si>
  <si>
    <t>2.项目号由财务根据编号规则填写。</t>
  </si>
  <si>
    <t>3.表格数据单位以万元列示，请勿随意改动表格内公式；备注栏可简单说明预算依据，若无相关科目则无需填写明细。</t>
  </si>
  <si>
    <t>4.公共费用分摊立项时暂不填写，项目实施过程中由财务按工时分摊，项目考核时并入项目成本。</t>
  </si>
  <si>
    <t>5.测算日期从立项日期开始。</t>
  </si>
  <si>
    <t>模块</t>
  </si>
  <si>
    <t>人员</t>
  </si>
  <si>
    <t>求和项:SX</t>
  </si>
  <si>
    <t>求和项:P1</t>
  </si>
  <si>
    <t>求和项:P2</t>
  </si>
  <si>
    <t>求和项:P3</t>
  </si>
  <si>
    <t>计数项:P4</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</si>
</sst>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Red]\(0.00\)"/>
    <numFmt numFmtId="178" formatCode="yyyy&quot;年&quot;m&quot;月&quot;d&quot;日&quot;;@"/>
    <numFmt numFmtId="179" formatCode="0.00_ "/>
    <numFmt numFmtId="180" formatCode="0.0_);[Red]\(0.0\)"/>
    <numFmt numFmtId="181" formatCode="m/d;@"/>
    <numFmt numFmtId="182" formatCode="yyyy/m/d;@"/>
    <numFmt numFmtId="183" formatCode="0.0_ "/>
  </numFmts>
  <fonts count="72">
    <font>
      <sz val="11"/>
      <color theme="1"/>
      <name val="等线"/>
      <charset val="134"/>
      <scheme val="minor"/>
    </font>
    <font>
      <b/>
      <sz val="11"/>
      <color theme="1"/>
      <name val="宋体"/>
      <charset val="134"/>
    </font>
    <font>
      <sz val="11"/>
      <color theme="1"/>
      <name val="宋体"/>
      <charset val="134"/>
    </font>
    <font>
      <sz val="18"/>
      <color theme="1"/>
      <name val="等线"/>
      <charset val="134"/>
      <scheme val="minor"/>
    </font>
    <font>
      <sz val="11"/>
      <color rgb="FFFF0000"/>
      <name val="等线"/>
      <charset val="134"/>
      <scheme val="minor"/>
    </font>
    <font>
      <sz val="9"/>
      <color theme="1"/>
      <name val="宋体"/>
      <charset val="134"/>
    </font>
    <font>
      <sz val="9"/>
      <color theme="1"/>
      <name val="等线"/>
      <charset val="134"/>
      <scheme val="minor"/>
    </font>
    <font>
      <sz val="9"/>
      <name val="宋体"/>
      <charset val="134"/>
    </font>
    <font>
      <sz val="9"/>
      <name val="等线"/>
      <charset val="134"/>
      <scheme val="minor"/>
    </font>
    <font>
      <sz val="11"/>
      <name val="等线"/>
      <charset val="134"/>
      <scheme val="minor"/>
    </font>
    <font>
      <sz val="12"/>
      <color theme="1"/>
      <name val="宋体"/>
      <charset val="134"/>
    </font>
    <font>
      <sz val="11"/>
      <color rgb="FFFF0000"/>
      <name val="宋体"/>
      <charset val="134"/>
    </font>
    <font>
      <sz val="11"/>
      <name val="宋体"/>
      <charset val="134"/>
    </font>
    <font>
      <sz val="12"/>
      <color rgb="FF000000"/>
      <name val="宋体"/>
      <charset val="134"/>
    </font>
    <font>
      <sz val="12"/>
      <name val="宋体"/>
      <charset val="134"/>
    </font>
    <font>
      <sz val="12"/>
      <color rgb="FFFF0000"/>
      <name val="宋体"/>
      <charset val="134"/>
    </font>
    <font>
      <b/>
      <sz val="9"/>
      <color theme="1"/>
      <name val="微软雅黑"/>
      <charset val="134"/>
    </font>
    <font>
      <sz val="9"/>
      <color theme="1"/>
      <name val="微软雅黑"/>
      <charset val="134"/>
    </font>
    <font>
      <b/>
      <sz val="10"/>
      <color theme="1"/>
      <name val="微软雅黑"/>
      <charset val="134"/>
    </font>
    <font>
      <sz val="10"/>
      <color theme="1"/>
      <name val="微软雅黑"/>
      <charset val="134"/>
    </font>
    <font>
      <sz val="6"/>
      <color theme="1"/>
      <name val="等线"/>
      <charset val="134"/>
      <scheme val="minor"/>
    </font>
    <font>
      <sz val="6"/>
      <color theme="1"/>
      <name val="宋体"/>
      <charset val="134"/>
    </font>
    <font>
      <sz val="6"/>
      <name val="等线"/>
      <charset val="134"/>
      <scheme val="minor"/>
    </font>
    <font>
      <sz val="9"/>
      <name val="微软雅黑"/>
      <charset val="134"/>
    </font>
    <font>
      <sz val="9"/>
      <color rgb="FFFF0000"/>
      <name val="微软雅黑"/>
      <charset val="134"/>
    </font>
    <font>
      <sz val="6"/>
      <color rgb="FF000000"/>
      <name val="微软雅黑"/>
      <charset val="134"/>
    </font>
    <font>
      <strike/>
      <sz val="9"/>
      <color theme="1"/>
      <name val="微软雅黑"/>
      <charset val="134"/>
    </font>
    <font>
      <strike/>
      <sz val="9"/>
      <name val="微软雅黑"/>
      <charset val="134"/>
    </font>
    <font>
      <b/>
      <strike/>
      <sz val="9"/>
      <color theme="1"/>
      <name val="微软雅黑"/>
      <charset val="134"/>
    </font>
    <font>
      <sz val="10"/>
      <color theme="1"/>
      <name val="等线"/>
      <charset val="134"/>
      <scheme val="minor"/>
    </font>
    <font>
      <b/>
      <sz val="9"/>
      <name val="微软雅黑"/>
      <charset val="134"/>
    </font>
    <font>
      <b/>
      <sz val="6"/>
      <name val="等线"/>
      <charset val="134"/>
      <scheme val="minor"/>
    </font>
    <font>
      <b/>
      <sz val="6"/>
      <color theme="1"/>
      <name val="等线"/>
      <charset val="134"/>
      <scheme val="minor"/>
    </font>
    <font>
      <u/>
      <sz val="11"/>
      <color rgb="FF0000FF"/>
      <name val="等线"/>
      <charset val="0"/>
      <scheme val="minor"/>
    </font>
    <font>
      <strike/>
      <sz val="6"/>
      <color theme="1"/>
      <name val="等线"/>
      <charset val="134"/>
      <scheme val="minor"/>
    </font>
    <font>
      <b/>
      <sz val="9"/>
      <color rgb="FF000000"/>
      <name val="微软雅黑"/>
      <charset val="134"/>
    </font>
    <font>
      <b/>
      <sz val="10"/>
      <color theme="0"/>
      <name val="Microsoft YaHei"/>
      <charset val="134"/>
    </font>
    <font>
      <sz val="10"/>
      <color theme="1"/>
      <name val="Microsoft YaHei"/>
      <charset val="134"/>
    </font>
    <font>
      <sz val="10"/>
      <name val="Microsoft YaHei"/>
      <charset val="134"/>
    </font>
    <font>
      <sz val="10"/>
      <color rgb="FF000000"/>
      <name val="Microsoft YaHei"/>
      <charset val="134"/>
    </font>
    <font>
      <sz val="10"/>
      <color rgb="FFFF0000"/>
      <name val="Microsoft YaHei"/>
      <charset val="134"/>
    </font>
    <font>
      <sz val="10"/>
      <name val="微软雅黑"/>
      <charset val="134"/>
    </font>
    <font>
      <i/>
      <sz val="11"/>
      <name val="宋体"/>
      <charset val="134"/>
    </font>
    <font>
      <b/>
      <sz val="10"/>
      <color theme="0"/>
      <name val="微软雅黑"/>
      <charset val="134"/>
    </font>
    <font>
      <sz val="12"/>
      <color rgb="FF000000"/>
      <name val="微软雅黑"/>
      <charset val="134"/>
    </font>
    <font>
      <sz val="12"/>
      <color theme="1"/>
      <name val="微软雅黑"/>
      <charset val="134"/>
    </font>
    <font>
      <i/>
      <sz val="12"/>
      <color rgb="FF000000"/>
      <name val="微软雅黑"/>
      <charset val="134"/>
    </font>
    <font>
      <sz val="12"/>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name val="Microsoft YaHei"/>
      <charset val="134"/>
    </font>
    <font>
      <b/>
      <sz val="9"/>
      <color rgb="FFFF0000"/>
      <name val="微软雅黑"/>
      <charset val="134"/>
    </font>
    <font>
      <b/>
      <sz val="9"/>
      <name val="宋体"/>
      <charset val="134"/>
    </font>
    <font>
      <sz val="9"/>
      <name val="宋体"/>
      <charset val="134"/>
    </font>
    <font>
      <sz val="6"/>
      <name val="宋体"/>
      <charset val="134"/>
    </font>
  </fonts>
  <fills count="49">
    <fill>
      <patternFill patternType="none"/>
    </fill>
    <fill>
      <patternFill patternType="gray125"/>
    </fill>
    <fill>
      <patternFill patternType="solid">
        <fgColor theme="4" tint="0.799981688894314"/>
        <bgColor theme="4" tint="0.799981688894314"/>
      </patternFill>
    </fill>
    <fill>
      <patternFill patternType="solid">
        <fgColor theme="0"/>
        <bgColor indexed="64"/>
      </patternFill>
    </fill>
    <fill>
      <patternFill patternType="solid">
        <fgColor theme="4" tint="0.8"/>
        <bgColor indexed="64"/>
      </patternFill>
    </fill>
    <fill>
      <patternFill patternType="solid">
        <fgColor theme="4" tint="0.799951170384838"/>
        <bgColor indexed="64"/>
      </patternFill>
    </fill>
    <fill>
      <patternFill patternType="solid">
        <fgColor theme="4" tint="0.799981688894314"/>
        <bgColor indexed="64"/>
      </patternFill>
    </fill>
    <fill>
      <patternFill patternType="solid">
        <fgColor theme="4" tint="0.6"/>
        <bgColor indexed="64"/>
      </patternFill>
    </fill>
    <fill>
      <patternFill patternType="solid">
        <fgColor rgb="FF00B050"/>
        <bgColor indexed="64"/>
      </patternFill>
    </fill>
    <fill>
      <patternFill patternType="solid">
        <fgColor rgb="FFFFFF00"/>
        <bgColor indexed="64"/>
      </patternFill>
    </fill>
    <fill>
      <patternFill patternType="solid">
        <fgColor theme="2"/>
        <bgColor indexed="64"/>
      </patternFill>
    </fill>
    <fill>
      <patternFill patternType="solid">
        <fgColor theme="9"/>
        <bgColor indexed="64"/>
      </patternFill>
    </fill>
    <fill>
      <patternFill patternType="solid">
        <fgColor theme="4" tint="0.4"/>
        <bgColor indexed="64"/>
      </patternFill>
    </fill>
    <fill>
      <patternFill patternType="solid">
        <fgColor rgb="FFFFC000"/>
        <bgColor indexed="64"/>
      </patternFill>
    </fill>
    <fill>
      <patternFill patternType="solid">
        <fgColor rgb="FFB5C6EA"/>
        <bgColor indexed="64"/>
      </patternFill>
    </fill>
    <fill>
      <patternFill patternType="solid">
        <fgColor theme="9" tint="0.6"/>
        <bgColor indexed="64"/>
      </patternFill>
    </fill>
    <fill>
      <patternFill patternType="solid">
        <fgColor rgb="FF92D050"/>
        <bgColor indexed="64"/>
      </patternFill>
    </fill>
    <fill>
      <patternFill patternType="solid">
        <fgColor rgb="FFE7E6E6"/>
        <bgColor indexed="64"/>
      </patternFill>
    </fill>
    <fill>
      <patternFill patternType="solid">
        <fgColor theme="8" tint="-0.499984740745262"/>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20" borderId="26"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27" applyNumberFormat="0" applyFill="0" applyAlignment="0" applyProtection="0">
      <alignment vertical="center"/>
    </xf>
    <xf numFmtId="0" fontId="53" fillId="0" borderId="27" applyNumberFormat="0" applyFill="0" applyAlignment="0" applyProtection="0">
      <alignment vertical="center"/>
    </xf>
    <xf numFmtId="0" fontId="54" fillId="0" borderId="28" applyNumberFormat="0" applyFill="0" applyAlignment="0" applyProtection="0">
      <alignment vertical="center"/>
    </xf>
    <xf numFmtId="0" fontId="54" fillId="0" borderId="0" applyNumberFormat="0" applyFill="0" applyBorder="0" applyAlignment="0" applyProtection="0">
      <alignment vertical="center"/>
    </xf>
    <xf numFmtId="0" fontId="55" fillId="21" borderId="29" applyNumberFormat="0" applyAlignment="0" applyProtection="0">
      <alignment vertical="center"/>
    </xf>
    <xf numFmtId="0" fontId="56" fillId="22" borderId="30" applyNumberFormat="0" applyAlignment="0" applyProtection="0">
      <alignment vertical="center"/>
    </xf>
    <xf numFmtId="0" fontId="57" fillId="22" borderId="29" applyNumberFormat="0" applyAlignment="0" applyProtection="0">
      <alignment vertical="center"/>
    </xf>
    <xf numFmtId="0" fontId="58" fillId="23" borderId="31" applyNumberFormat="0" applyAlignment="0" applyProtection="0">
      <alignment vertical="center"/>
    </xf>
    <xf numFmtId="0" fontId="59" fillId="0" borderId="32" applyNumberFormat="0" applyFill="0" applyAlignment="0" applyProtection="0">
      <alignment vertical="center"/>
    </xf>
    <xf numFmtId="0" fontId="60" fillId="0" borderId="33" applyNumberFormat="0" applyFill="0" applyAlignment="0" applyProtection="0">
      <alignment vertical="center"/>
    </xf>
    <xf numFmtId="0" fontId="61" fillId="24" borderId="0" applyNumberFormat="0" applyBorder="0" applyAlignment="0" applyProtection="0">
      <alignment vertical="center"/>
    </xf>
    <xf numFmtId="0" fontId="62" fillId="25" borderId="0" applyNumberFormat="0" applyBorder="0" applyAlignment="0" applyProtection="0">
      <alignment vertical="center"/>
    </xf>
    <xf numFmtId="0" fontId="63" fillId="26" borderId="0" applyNumberFormat="0" applyBorder="0" applyAlignment="0" applyProtection="0">
      <alignment vertical="center"/>
    </xf>
    <xf numFmtId="0" fontId="64" fillId="27" borderId="0" applyNumberFormat="0" applyBorder="0" applyAlignment="0" applyProtection="0">
      <alignment vertical="center"/>
    </xf>
    <xf numFmtId="0" fontId="65" fillId="6" borderId="0" applyNumberFormat="0" applyBorder="0" applyAlignment="0" applyProtection="0">
      <alignment vertical="center"/>
    </xf>
    <xf numFmtId="0" fontId="65" fillId="28" borderId="0" applyNumberFormat="0" applyBorder="0" applyAlignment="0" applyProtection="0">
      <alignment vertical="center"/>
    </xf>
    <xf numFmtId="0" fontId="64" fillId="29" borderId="0" applyNumberFormat="0" applyBorder="0" applyAlignment="0" applyProtection="0">
      <alignment vertical="center"/>
    </xf>
    <xf numFmtId="0" fontId="64" fillId="30"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33" borderId="0" applyNumberFormat="0" applyBorder="0" applyAlignment="0" applyProtection="0">
      <alignment vertical="center"/>
    </xf>
    <xf numFmtId="0" fontId="64" fillId="34" borderId="0" applyNumberFormat="0" applyBorder="0" applyAlignment="0" applyProtection="0">
      <alignment vertical="center"/>
    </xf>
    <xf numFmtId="0" fontId="65" fillId="35" borderId="0" applyNumberFormat="0" applyBorder="0" applyAlignment="0" applyProtection="0">
      <alignment vertical="center"/>
    </xf>
    <xf numFmtId="0" fontId="65" fillId="36" borderId="0" applyNumberFormat="0" applyBorder="0" applyAlignment="0" applyProtection="0">
      <alignment vertical="center"/>
    </xf>
    <xf numFmtId="0" fontId="64" fillId="37" borderId="0" applyNumberFormat="0" applyBorder="0" applyAlignment="0" applyProtection="0">
      <alignment vertical="center"/>
    </xf>
    <xf numFmtId="0" fontId="64" fillId="38" borderId="0" applyNumberFormat="0" applyBorder="0" applyAlignment="0" applyProtection="0">
      <alignment vertical="center"/>
    </xf>
    <xf numFmtId="0" fontId="65" fillId="39" borderId="0" applyNumberFormat="0" applyBorder="0" applyAlignment="0" applyProtection="0">
      <alignment vertical="center"/>
    </xf>
    <xf numFmtId="0" fontId="65" fillId="40" borderId="0" applyNumberFormat="0" applyBorder="0" applyAlignment="0" applyProtection="0">
      <alignment vertical="center"/>
    </xf>
    <xf numFmtId="0" fontId="64" fillId="41" borderId="0" applyNumberFormat="0" applyBorder="0" applyAlignment="0" applyProtection="0">
      <alignment vertical="center"/>
    </xf>
    <xf numFmtId="0" fontId="64" fillId="42" borderId="0" applyNumberFormat="0" applyBorder="0" applyAlignment="0" applyProtection="0">
      <alignment vertical="center"/>
    </xf>
    <xf numFmtId="0" fontId="65" fillId="43" borderId="0" applyNumberFormat="0" applyBorder="0" applyAlignment="0" applyProtection="0">
      <alignment vertical="center"/>
    </xf>
    <xf numFmtId="0" fontId="65" fillId="44" borderId="0" applyNumberFormat="0" applyBorder="0" applyAlignment="0" applyProtection="0">
      <alignment vertical="center"/>
    </xf>
    <xf numFmtId="0" fontId="64" fillId="45" borderId="0" applyNumberFormat="0" applyBorder="0" applyAlignment="0" applyProtection="0">
      <alignment vertical="center"/>
    </xf>
    <xf numFmtId="0" fontId="64" fillId="11" borderId="0" applyNumberFormat="0" applyBorder="0" applyAlignment="0" applyProtection="0">
      <alignment vertical="center"/>
    </xf>
    <xf numFmtId="0" fontId="65" fillId="46" borderId="0" applyNumberFormat="0" applyBorder="0" applyAlignment="0" applyProtection="0">
      <alignment vertical="center"/>
    </xf>
    <xf numFmtId="0" fontId="65" fillId="47" borderId="0" applyNumberFormat="0" applyBorder="0" applyAlignment="0" applyProtection="0">
      <alignment vertical="center"/>
    </xf>
    <xf numFmtId="0" fontId="64" fillId="48" borderId="0" applyNumberFormat="0" applyBorder="0" applyAlignment="0" applyProtection="0">
      <alignment vertical="center"/>
    </xf>
    <xf numFmtId="9" fontId="12" fillId="0" borderId="0" applyFont="0" applyFill="0" applyBorder="0" applyAlignment="0" applyProtection="0">
      <alignment vertical="center"/>
    </xf>
    <xf numFmtId="9" fontId="0" fillId="0" borderId="0" applyFont="0" applyFill="0" applyBorder="0" applyAlignment="0" applyProtection="0">
      <alignment vertical="center"/>
    </xf>
    <xf numFmtId="0" fontId="12" fillId="0" borderId="0">
      <alignment vertical="center"/>
    </xf>
    <xf numFmtId="0" fontId="12" fillId="0" borderId="0">
      <alignment vertical="center"/>
    </xf>
    <xf numFmtId="0" fontId="0" fillId="12" borderId="0">
      <alignment vertical="center"/>
    </xf>
  </cellStyleXfs>
  <cellXfs count="344">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1" fillId="2" borderId="8" xfId="0" applyFont="1" applyFill="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0" fillId="0" borderId="0" xfId="0" applyFont="1" applyFill="1" applyBorder="1" applyAlignment="1">
      <alignment vertical="center"/>
    </xf>
    <xf numFmtId="0" fontId="3" fillId="0" borderId="0" xfId="0" applyFont="1" applyFill="1" applyBorder="1" applyAlignment="1">
      <alignment horizontal="center" vertical="center"/>
    </xf>
    <xf numFmtId="0" fontId="4" fillId="0" borderId="0" xfId="0" applyFont="1" applyFill="1" applyBorder="1" applyAlignment="1">
      <alignment horizontal="right" vertical="center"/>
    </xf>
    <xf numFmtId="0" fontId="0" fillId="0" borderId="6" xfId="0" applyFont="1" applyFill="1" applyBorder="1" applyAlignment="1">
      <alignment horizontal="center" vertical="center"/>
    </xf>
    <xf numFmtId="0" fontId="5" fillId="0" borderId="6" xfId="0" applyFont="1" applyFill="1" applyBorder="1" applyAlignment="1">
      <alignment horizontal="center" vertical="center" wrapText="1"/>
    </xf>
    <xf numFmtId="0" fontId="6" fillId="0" borderId="6" xfId="0" applyFont="1" applyFill="1" applyBorder="1" applyAlignment="1">
      <alignment horizontal="center" vertical="center"/>
    </xf>
    <xf numFmtId="0" fontId="6" fillId="0" borderId="6" xfId="0" applyFont="1" applyFill="1" applyBorder="1" applyAlignment="1">
      <alignment vertical="center"/>
    </xf>
    <xf numFmtId="0" fontId="7" fillId="0" borderId="6" xfId="0" applyFont="1" applyFill="1" applyBorder="1" applyAlignment="1">
      <alignment horizontal="justify" vertical="center" wrapText="1"/>
    </xf>
    <xf numFmtId="0" fontId="8" fillId="0" borderId="6" xfId="0" applyFont="1" applyFill="1" applyBorder="1" applyAlignment="1">
      <alignment vertical="center" wrapText="1"/>
    </xf>
    <xf numFmtId="0" fontId="6" fillId="0" borderId="6" xfId="0" applyFont="1" applyFill="1" applyBorder="1" applyAlignment="1">
      <alignment vertical="center" wrapText="1"/>
    </xf>
    <xf numFmtId="0" fontId="8" fillId="0" borderId="6" xfId="0" applyFont="1" applyFill="1" applyBorder="1" applyAlignment="1">
      <alignment vertical="center"/>
    </xf>
    <xf numFmtId="0" fontId="9" fillId="0" borderId="0" xfId="0" applyFont="1" applyFill="1" applyBorder="1" applyAlignment="1">
      <alignment vertical="center"/>
    </xf>
    <xf numFmtId="0" fontId="6" fillId="0" borderId="6" xfId="0" applyFont="1" applyFill="1" applyBorder="1" applyAlignment="1">
      <alignment horizontal="center" vertical="center" wrapText="1"/>
    </xf>
    <xf numFmtId="0" fontId="5" fillId="0" borderId="6" xfId="0" applyFont="1" applyFill="1" applyBorder="1" applyAlignment="1">
      <alignment vertical="center" wrapText="1"/>
    </xf>
    <xf numFmtId="0" fontId="0" fillId="0" borderId="6" xfId="0" applyFont="1" applyFill="1" applyBorder="1" applyAlignment="1">
      <alignment vertical="top"/>
    </xf>
    <xf numFmtId="0" fontId="0" fillId="0" borderId="6" xfId="0" applyFont="1" applyFill="1" applyBorder="1" applyAlignment="1">
      <alignment vertical="top" wrapText="1"/>
    </xf>
    <xf numFmtId="0" fontId="6" fillId="0" borderId="6" xfId="0" applyFont="1" applyFill="1" applyBorder="1" applyAlignment="1">
      <alignment vertical="top"/>
    </xf>
    <xf numFmtId="0" fontId="0" fillId="0" borderId="0" xfId="0" applyFont="1" applyFill="1" applyBorder="1" applyAlignment="1">
      <alignment vertical="top"/>
    </xf>
    <xf numFmtId="0" fontId="0" fillId="0" borderId="0" xfId="0" applyFont="1" applyFill="1" applyBorder="1" applyAlignment="1">
      <alignment vertical="top" wrapText="1"/>
    </xf>
    <xf numFmtId="0" fontId="6" fillId="0" borderId="0" xfId="0" applyFont="1" applyFill="1" applyBorder="1" applyAlignment="1">
      <alignment vertical="top"/>
    </xf>
    <xf numFmtId="0" fontId="0" fillId="0" borderId="0" xfId="0" applyFont="1" applyFill="1" applyAlignment="1">
      <alignment horizontal="left" vertical="center"/>
    </xf>
    <xf numFmtId="0" fontId="10" fillId="0" borderId="0" xfId="0" applyFont="1" applyFill="1" applyBorder="1" applyAlignment="1"/>
    <xf numFmtId="0" fontId="10" fillId="0" borderId="0" xfId="0" applyFont="1" applyFill="1" applyBorder="1" applyAlignment="1">
      <alignment wrapText="1"/>
    </xf>
    <xf numFmtId="0" fontId="10" fillId="0" borderId="0" xfId="0" applyFont="1" applyFill="1" applyBorder="1" applyAlignment="1">
      <alignment horizontal="center" vertical="center"/>
    </xf>
    <xf numFmtId="0" fontId="10" fillId="0" borderId="0" xfId="0" applyFont="1" applyFill="1" applyBorder="1" applyAlignment="1">
      <alignment horizontal="center" vertical="center" wrapText="1"/>
    </xf>
    <xf numFmtId="0" fontId="10" fillId="3" borderId="0" xfId="0" applyFont="1" applyFill="1" applyBorder="1" applyAlignment="1"/>
    <xf numFmtId="0" fontId="11" fillId="0" borderId="0" xfId="0" applyFont="1" applyFill="1" applyAlignment="1">
      <alignment horizontal="right" vertical="center"/>
    </xf>
    <xf numFmtId="0" fontId="2" fillId="4" borderId="6"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12" fillId="4" borderId="6"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6" xfId="0" applyFont="1" applyFill="1" applyBorder="1" applyAlignment="1">
      <alignment horizontal="center" vertical="center" wrapText="1"/>
    </xf>
    <xf numFmtId="0" fontId="12" fillId="0" borderId="6" xfId="0" applyFont="1" applyFill="1" applyBorder="1" applyAlignment="1">
      <alignment horizontal="center" vertical="center"/>
    </xf>
    <xf numFmtId="0" fontId="10" fillId="0" borderId="16" xfId="0" applyFont="1" applyFill="1" applyBorder="1" applyAlignment="1">
      <alignment horizontal="left" vertical="center" wrapText="1"/>
    </xf>
    <xf numFmtId="0" fontId="10" fillId="0" borderId="17" xfId="0" applyFont="1" applyFill="1" applyBorder="1" applyAlignment="1">
      <alignment horizontal="left" vertical="center" wrapText="1"/>
    </xf>
    <xf numFmtId="0" fontId="13" fillId="0" borderId="6" xfId="0" applyFont="1" applyFill="1" applyBorder="1" applyAlignment="1">
      <alignment horizontal="center" vertical="center" wrapText="1" readingOrder="1"/>
    </xf>
    <xf numFmtId="0" fontId="14" fillId="0" borderId="6" xfId="0" applyFont="1" applyFill="1" applyBorder="1" applyAlignment="1">
      <alignment horizontal="center" vertical="center"/>
    </xf>
    <xf numFmtId="0" fontId="10" fillId="0" borderId="6" xfId="0" applyFont="1" applyFill="1" applyBorder="1" applyAlignment="1">
      <alignment horizontal="center" vertical="center"/>
    </xf>
    <xf numFmtId="0" fontId="10" fillId="0" borderId="18" xfId="0" applyFont="1" applyFill="1" applyBorder="1" applyAlignment="1">
      <alignment horizontal="left" vertical="center" wrapText="1"/>
    </xf>
    <xf numFmtId="0" fontId="10" fillId="0" borderId="19"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10" fillId="0" borderId="21" xfId="0" applyFont="1" applyFill="1" applyBorder="1" applyAlignment="1">
      <alignment horizontal="left" vertical="center" wrapText="1"/>
    </xf>
    <xf numFmtId="0" fontId="13" fillId="0" borderId="0" xfId="0" applyFont="1" applyFill="1" applyBorder="1" applyAlignment="1">
      <alignment horizontal="center" vertical="center" wrapText="1" readingOrder="1"/>
    </xf>
    <xf numFmtId="0" fontId="2" fillId="5" borderId="6" xfId="0" applyFont="1" applyFill="1" applyBorder="1" applyAlignment="1">
      <alignment horizontal="center" vertical="center"/>
    </xf>
    <xf numFmtId="0" fontId="2" fillId="5" borderId="6" xfId="0" applyFont="1" applyFill="1" applyBorder="1" applyAlignment="1">
      <alignment horizontal="center" vertical="center" wrapText="1"/>
    </xf>
    <xf numFmtId="0" fontId="13" fillId="0" borderId="6" xfId="0" applyFont="1" applyFill="1" applyBorder="1" applyAlignment="1">
      <alignment horizontal="center" vertical="center" readingOrder="1"/>
    </xf>
    <xf numFmtId="176" fontId="14" fillId="0" borderId="6" xfId="0" applyNumberFormat="1" applyFont="1" applyFill="1" applyBorder="1" applyAlignment="1">
      <alignment horizontal="center" vertical="center"/>
    </xf>
    <xf numFmtId="176" fontId="10" fillId="0" borderId="6" xfId="0" applyNumberFormat="1" applyFont="1" applyFill="1" applyBorder="1" applyAlignment="1">
      <alignment horizontal="center" vertical="center"/>
    </xf>
    <xf numFmtId="177" fontId="10" fillId="0" borderId="6" xfId="0" applyNumberFormat="1" applyFont="1" applyFill="1" applyBorder="1" applyAlignment="1">
      <alignment horizontal="center" vertical="center"/>
    </xf>
    <xf numFmtId="43" fontId="14" fillId="0" borderId="6" xfId="0" applyNumberFormat="1" applyFont="1" applyFill="1" applyBorder="1" applyAlignment="1">
      <alignment horizontal="center" vertical="center"/>
    </xf>
    <xf numFmtId="0" fontId="10" fillId="5" borderId="6" xfId="0" applyFont="1" applyFill="1" applyBorder="1" applyAlignment="1">
      <alignment horizontal="center" vertical="center"/>
    </xf>
    <xf numFmtId="0" fontId="10" fillId="5" borderId="6" xfId="0" applyFont="1" applyFill="1" applyBorder="1" applyAlignment="1">
      <alignment horizontal="center" vertical="center" wrapText="1"/>
    </xf>
    <xf numFmtId="0" fontId="14" fillId="6" borderId="6" xfId="0" applyFont="1" applyFill="1" applyBorder="1" applyAlignment="1">
      <alignment horizontal="center" vertical="center"/>
    </xf>
    <xf numFmtId="0" fontId="10" fillId="0" borderId="0" xfId="0" applyFont="1" applyFill="1" applyAlignment="1">
      <alignment horizontal="left"/>
    </xf>
    <xf numFmtId="0" fontId="10" fillId="0" borderId="0" xfId="0" applyFont="1" applyFill="1" applyAlignment="1">
      <alignment horizontal="left" wrapText="1"/>
    </xf>
    <xf numFmtId="0" fontId="0" fillId="0" borderId="0" xfId="0" applyFont="1" applyFill="1" applyAlignment="1">
      <alignment horizontal="left"/>
    </xf>
    <xf numFmtId="0" fontId="0" fillId="0" borderId="0" xfId="0" applyFont="1" applyFill="1" applyAlignment="1">
      <alignment horizontal="left" wrapText="1"/>
    </xf>
    <xf numFmtId="0" fontId="0" fillId="0" borderId="0" xfId="0" applyFont="1" applyFill="1" applyBorder="1" applyAlignment="1"/>
    <xf numFmtId="0" fontId="0" fillId="0" borderId="0" xfId="0" applyFont="1" applyFill="1" applyBorder="1" applyAlignment="1">
      <alignment horizontal="right" wrapText="1"/>
    </xf>
    <xf numFmtId="0" fontId="0" fillId="0" borderId="0" xfId="0" applyFont="1" applyFill="1" applyBorder="1" applyAlignment="1">
      <alignment wrapText="1"/>
    </xf>
    <xf numFmtId="0" fontId="10" fillId="0" borderId="0" xfId="0" applyFont="1" applyFill="1" applyBorder="1" applyAlignment="1">
      <alignment horizontal="left"/>
    </xf>
    <xf numFmtId="0" fontId="15" fillId="0" borderId="0" xfId="0" applyFont="1" applyFill="1" applyBorder="1" applyAlignment="1">
      <alignment horizontal="center"/>
    </xf>
    <xf numFmtId="0" fontId="15" fillId="3" borderId="0" xfId="0" applyFont="1" applyFill="1" applyBorder="1" applyAlignment="1">
      <alignment horizontal="center" vertical="center"/>
    </xf>
    <xf numFmtId="176" fontId="15" fillId="0" borderId="0" xfId="0" applyNumberFormat="1" applyFont="1" applyFill="1" applyBorder="1" applyAlignment="1">
      <alignment horizontal="center"/>
    </xf>
    <xf numFmtId="0" fontId="2" fillId="0" borderId="0" xfId="0" applyFont="1" applyFill="1" applyBorder="1" applyAlignment="1">
      <alignment horizontal="center" vertical="center"/>
    </xf>
    <xf numFmtId="177" fontId="10" fillId="3" borderId="6" xfId="0" applyNumberFormat="1" applyFont="1" applyFill="1" applyBorder="1" applyAlignment="1">
      <alignment horizontal="center" vertical="center"/>
    </xf>
    <xf numFmtId="177" fontId="10" fillId="5" borderId="6" xfId="0" applyNumberFormat="1" applyFont="1" applyFill="1" applyBorder="1" applyAlignment="1">
      <alignment horizontal="center" vertical="center"/>
    </xf>
    <xf numFmtId="0" fontId="15" fillId="0" borderId="0" xfId="0" applyFont="1" applyFill="1" applyBorder="1" applyAlignment="1"/>
    <xf numFmtId="0" fontId="0" fillId="7" borderId="6" xfId="0" applyNumberFormat="1" applyFill="1" applyBorder="1" applyAlignment="1">
      <alignment horizontal="center" vertical="center"/>
    </xf>
    <xf numFmtId="0" fontId="0" fillId="0" borderId="6" xfId="0" applyNumberFormat="1" applyBorder="1" applyAlignment="1">
      <alignment horizontal="center" vertical="center"/>
    </xf>
    <xf numFmtId="0" fontId="16" fillId="8" borderId="6" xfId="0" applyFont="1" applyFill="1" applyBorder="1" applyAlignment="1">
      <alignment horizontal="center" vertical="center" wrapText="1"/>
    </xf>
    <xf numFmtId="0" fontId="16" fillId="8" borderId="6" xfId="0" applyFont="1" applyFill="1" applyBorder="1" applyAlignment="1">
      <alignment horizontal="center" vertical="center"/>
    </xf>
    <xf numFmtId="0" fontId="16" fillId="9" borderId="6" xfId="0" applyFont="1" applyFill="1" applyBorder="1" applyAlignment="1">
      <alignment horizontal="center" vertical="center" wrapText="1"/>
    </xf>
    <xf numFmtId="0" fontId="17" fillId="0" borderId="6" xfId="0" applyFont="1" applyFill="1" applyBorder="1">
      <alignment vertical="center"/>
    </xf>
    <xf numFmtId="0" fontId="0" fillId="0" borderId="6" xfId="0" applyFill="1" applyBorder="1" applyAlignment="1">
      <alignment horizontal="center" vertical="center"/>
    </xf>
    <xf numFmtId="0" fontId="17" fillId="0" borderId="6" xfId="0" applyFont="1" applyFill="1" applyBorder="1" applyAlignment="1">
      <alignment horizontal="center" vertical="center"/>
    </xf>
    <xf numFmtId="0" fontId="17" fillId="10" borderId="6" xfId="0" applyFont="1" applyFill="1" applyBorder="1">
      <alignment vertical="center"/>
    </xf>
    <xf numFmtId="0" fontId="0" fillId="10" borderId="6" xfId="0" applyFill="1" applyBorder="1" applyAlignment="1">
      <alignment horizontal="center" vertical="center"/>
    </xf>
    <xf numFmtId="0" fontId="17" fillId="10" borderId="6" xfId="0" applyFont="1" applyFill="1" applyBorder="1" applyAlignment="1">
      <alignment horizontal="center" vertical="center"/>
    </xf>
    <xf numFmtId="9" fontId="17" fillId="0" borderId="6" xfId="3" applyFont="1" applyFill="1" applyBorder="1" applyAlignment="1">
      <alignment horizontal="center" vertical="center"/>
    </xf>
    <xf numFmtId="0" fontId="17" fillId="0" borderId="6" xfId="0" applyFont="1" applyBorder="1">
      <alignment vertical="center"/>
    </xf>
    <xf numFmtId="0" fontId="17" fillId="0" borderId="6" xfId="0" applyFont="1" applyFill="1" applyBorder="1" applyAlignment="1">
      <alignment vertical="center" wrapText="1"/>
    </xf>
    <xf numFmtId="9" fontId="17" fillId="10" borderId="6" xfId="3" applyFont="1" applyFill="1" applyBorder="1" applyAlignment="1">
      <alignment horizontal="center" vertical="center"/>
    </xf>
    <xf numFmtId="0" fontId="17" fillId="10" borderId="6" xfId="0" applyFont="1" applyFill="1" applyBorder="1" applyAlignment="1">
      <alignment vertical="center" wrapText="1"/>
    </xf>
    <xf numFmtId="0" fontId="17" fillId="0" borderId="0" xfId="0" applyFont="1">
      <alignment vertical="center"/>
    </xf>
    <xf numFmtId="0" fontId="18" fillId="11" borderId="6" xfId="0" applyFont="1" applyFill="1" applyBorder="1" applyAlignment="1">
      <alignment horizontal="center" vertical="center"/>
    </xf>
    <xf numFmtId="0" fontId="19" fillId="11" borderId="6" xfId="0" applyFont="1" applyFill="1" applyBorder="1" applyAlignment="1">
      <alignment horizontal="center" vertical="center"/>
    </xf>
    <xf numFmtId="0" fontId="19" fillId="11" borderId="6" xfId="0" applyFont="1" applyFill="1" applyBorder="1" applyAlignment="1">
      <alignment horizontal="center" vertical="center" wrapText="1"/>
    </xf>
    <xf numFmtId="178" fontId="19" fillId="0" borderId="6" xfId="0" applyNumberFormat="1" applyFont="1" applyFill="1" applyBorder="1" applyAlignment="1">
      <alignment horizontal="center" vertical="center"/>
    </xf>
    <xf numFmtId="179" fontId="19" fillId="0" borderId="6" xfId="0" applyNumberFormat="1" applyFont="1" applyFill="1" applyBorder="1" applyAlignment="1">
      <alignment horizontal="center" vertical="center"/>
    </xf>
    <xf numFmtId="0" fontId="19" fillId="0" borderId="6" xfId="0" applyFont="1" applyFill="1" applyBorder="1" applyAlignment="1">
      <alignment horizontal="center" vertical="center"/>
    </xf>
    <xf numFmtId="180" fontId="19" fillId="0" borderId="6" xfId="0" applyNumberFormat="1" applyFont="1" applyFill="1" applyBorder="1" applyAlignment="1">
      <alignment horizontal="center" vertical="center"/>
    </xf>
    <xf numFmtId="177" fontId="19" fillId="0" borderId="6" xfId="0" applyNumberFormat="1" applyFont="1" applyFill="1" applyBorder="1" applyAlignment="1">
      <alignment horizontal="center" vertical="center"/>
    </xf>
    <xf numFmtId="177" fontId="19" fillId="11" borderId="6" xfId="0" applyNumberFormat="1" applyFont="1" applyFill="1" applyBorder="1" applyAlignment="1">
      <alignment horizontal="center" vertical="center"/>
    </xf>
    <xf numFmtId="9" fontId="19" fillId="0" borderId="6" xfId="3" applyFont="1" applyBorder="1" applyAlignment="1">
      <alignment horizontal="center" vertical="center" wrapText="1"/>
    </xf>
    <xf numFmtId="0" fontId="19" fillId="0" borderId="6" xfId="0" applyFont="1" applyFill="1" applyBorder="1" applyAlignment="1">
      <alignment horizontal="left" vertical="center" wrapText="1"/>
    </xf>
    <xf numFmtId="0" fontId="19" fillId="0" borderId="6" xfId="0" applyFont="1" applyFill="1" applyBorder="1" applyAlignment="1">
      <alignment vertical="center" wrapText="1"/>
    </xf>
    <xf numFmtId="0" fontId="19" fillId="0" borderId="6" xfId="0" applyFont="1" applyFill="1" applyBorder="1" applyAlignment="1">
      <alignment horizontal="center" vertical="center" wrapText="1"/>
    </xf>
    <xf numFmtId="0" fontId="20" fillId="10" borderId="0" xfId="0" applyNumberFormat="1" applyFont="1" applyFill="1" applyAlignment="1">
      <alignment horizontal="center" vertical="center"/>
    </xf>
    <xf numFmtId="0" fontId="21" fillId="0" borderId="0" xfId="51" applyFont="1" applyAlignment="1">
      <alignment horizontal="center" vertical="center" readingOrder="1"/>
    </xf>
    <xf numFmtId="0" fontId="21" fillId="9" borderId="0" xfId="51" applyFont="1" applyFill="1" applyAlignment="1">
      <alignment horizontal="center" vertical="center" readingOrder="1"/>
    </xf>
    <xf numFmtId="0" fontId="20" fillId="10" borderId="0" xfId="0" applyFont="1" applyFill="1" applyAlignment="1">
      <alignment horizontal="center" vertical="center"/>
    </xf>
    <xf numFmtId="0" fontId="20" fillId="0" borderId="0" xfId="0" applyFont="1" applyFill="1" applyAlignment="1">
      <alignment horizontal="center" vertical="center"/>
    </xf>
    <xf numFmtId="0" fontId="22" fillId="10" borderId="0" xfId="0" applyFont="1" applyFill="1" applyAlignment="1">
      <alignment horizontal="center" vertical="center"/>
    </xf>
    <xf numFmtId="0" fontId="17" fillId="10" borderId="0" xfId="0" applyNumberFormat="1" applyFont="1" applyFill="1" applyAlignment="1">
      <alignment horizontal="center" vertical="center"/>
    </xf>
    <xf numFmtId="0" fontId="17" fillId="10" borderId="0" xfId="0" applyFont="1" applyFill="1" applyAlignment="1">
      <alignment horizontal="center" vertical="center"/>
    </xf>
    <xf numFmtId="0" fontId="17" fillId="10" borderId="0" xfId="0" applyFont="1" applyFill="1" applyBorder="1" applyAlignment="1">
      <alignment horizontal="center" vertical="center"/>
    </xf>
    <xf numFmtId="0" fontId="17" fillId="10" borderId="0" xfId="0" applyFont="1" applyFill="1" applyBorder="1" applyAlignment="1">
      <alignment horizontal="center" vertical="center" wrapText="1"/>
    </xf>
    <xf numFmtId="0" fontId="23" fillId="10" borderId="0" xfId="51" applyFont="1" applyFill="1" applyBorder="1" applyAlignment="1">
      <alignment horizontal="center" vertical="center" wrapText="1" readingOrder="1"/>
    </xf>
    <xf numFmtId="181" fontId="17" fillId="10" borderId="0" xfId="0" applyNumberFormat="1" applyFont="1" applyFill="1" applyBorder="1" applyAlignment="1">
      <alignment horizontal="center" vertical="center"/>
    </xf>
    <xf numFmtId="0" fontId="24" fillId="12" borderId="6" xfId="0" applyFont="1" applyFill="1" applyBorder="1" applyAlignment="1">
      <alignment horizontal="center" vertical="center"/>
    </xf>
    <xf numFmtId="0" fontId="24" fillId="12" borderId="6" xfId="0" applyFont="1" applyFill="1" applyBorder="1" applyAlignment="1">
      <alignment horizontal="center" vertical="center" wrapText="1"/>
    </xf>
    <xf numFmtId="0" fontId="17" fillId="12" borderId="6" xfId="0" applyFont="1" applyFill="1" applyBorder="1" applyAlignment="1">
      <alignment horizontal="center" vertical="center"/>
    </xf>
    <xf numFmtId="0" fontId="17" fillId="12" borderId="6" xfId="0" applyFont="1" applyFill="1" applyBorder="1" applyAlignment="1">
      <alignment horizontal="center" vertical="center" wrapText="1"/>
    </xf>
    <xf numFmtId="0" fontId="17" fillId="10" borderId="6" xfId="0" applyFont="1" applyFill="1" applyBorder="1" applyAlignment="1">
      <alignment horizontal="center" vertical="center" wrapText="1"/>
    </xf>
    <xf numFmtId="0" fontId="17" fillId="10" borderId="6" xfId="51" applyFont="1" applyFill="1" applyBorder="1" applyAlignment="1">
      <alignment horizontal="center" vertical="center" readingOrder="1"/>
    </xf>
    <xf numFmtId="0" fontId="17" fillId="10" borderId="6" xfId="51" applyFont="1" applyFill="1" applyBorder="1" applyAlignment="1">
      <alignment horizontal="center" vertical="center" wrapText="1" readingOrder="1"/>
    </xf>
    <xf numFmtId="0" fontId="23" fillId="10" borderId="6" xfId="51" applyFont="1" applyFill="1" applyBorder="1" applyAlignment="1">
      <alignment horizontal="center" vertical="center" wrapText="1" readingOrder="1"/>
    </xf>
    <xf numFmtId="0" fontId="17" fillId="9" borderId="6" xfId="0" applyFont="1" applyFill="1" applyBorder="1" applyAlignment="1">
      <alignment horizontal="center" vertical="center" wrapText="1"/>
    </xf>
    <xf numFmtId="0" fontId="17" fillId="9" borderId="6" xfId="51" applyFont="1" applyFill="1" applyBorder="1" applyAlignment="1">
      <alignment horizontal="center" vertical="center" wrapText="1" readingOrder="1"/>
    </xf>
    <xf numFmtId="0" fontId="17" fillId="13" borderId="6" xfId="0" applyFont="1" applyFill="1" applyBorder="1" applyAlignment="1">
      <alignment horizontal="center" vertical="center" wrapText="1"/>
    </xf>
    <xf numFmtId="0" fontId="17" fillId="13" borderId="6" xfId="51" applyFont="1" applyFill="1" applyBorder="1" applyAlignment="1">
      <alignment horizontal="center" vertical="center" wrapText="1" readingOrder="1"/>
    </xf>
    <xf numFmtId="0" fontId="16" fillId="10" borderId="6" xfId="51" applyFont="1" applyFill="1" applyBorder="1" applyAlignment="1">
      <alignment horizontal="center" vertical="center" wrapText="1" readingOrder="1"/>
    </xf>
    <xf numFmtId="14" fontId="17" fillId="10" borderId="6" xfId="0" applyNumberFormat="1" applyFont="1" applyFill="1" applyBorder="1" applyAlignment="1">
      <alignment horizontal="center" vertical="center" wrapText="1"/>
    </xf>
    <xf numFmtId="181" fontId="17" fillId="10" borderId="6" xfId="0" applyNumberFormat="1" applyFont="1" applyFill="1" applyBorder="1" applyAlignment="1">
      <alignment horizontal="center" vertical="center" wrapText="1"/>
    </xf>
    <xf numFmtId="14" fontId="17" fillId="10" borderId="6" xfId="51" applyNumberFormat="1" applyFont="1" applyFill="1" applyBorder="1" applyAlignment="1">
      <alignment horizontal="center" vertical="center" wrapText="1" readingOrder="1"/>
    </xf>
    <xf numFmtId="0" fontId="17" fillId="10" borderId="6" xfId="51" applyFont="1" applyFill="1" applyBorder="1" applyAlignment="1">
      <alignment vertical="center" wrapText="1" readingOrder="1"/>
    </xf>
    <xf numFmtId="14" fontId="17" fillId="10" borderId="6" xfId="51" applyNumberFormat="1" applyFont="1" applyFill="1" applyBorder="1" applyAlignment="1">
      <alignment horizontal="center" vertical="center" readingOrder="1"/>
    </xf>
    <xf numFmtId="14" fontId="17" fillId="9" borderId="6" xfId="51" applyNumberFormat="1" applyFont="1" applyFill="1" applyBorder="1" applyAlignment="1">
      <alignment horizontal="center" vertical="center" wrapText="1" readingOrder="1"/>
    </xf>
    <xf numFmtId="181" fontId="17" fillId="9" borderId="6" xfId="0" applyNumberFormat="1" applyFont="1" applyFill="1" applyBorder="1" applyAlignment="1">
      <alignment horizontal="center" vertical="center" wrapText="1"/>
    </xf>
    <xf numFmtId="14" fontId="17" fillId="13" borderId="6" xfId="51" applyNumberFormat="1" applyFont="1" applyFill="1" applyBorder="1" applyAlignment="1">
      <alignment horizontal="center" vertical="center" wrapText="1" readingOrder="1"/>
    </xf>
    <xf numFmtId="181" fontId="17" fillId="13" borderId="6" xfId="0" applyNumberFormat="1" applyFont="1" applyFill="1" applyBorder="1" applyAlignment="1">
      <alignment horizontal="center" vertical="center" wrapText="1"/>
    </xf>
    <xf numFmtId="0" fontId="23" fillId="10" borderId="0" xfId="0" applyFont="1" applyFill="1" applyBorder="1" applyAlignment="1">
      <alignment horizontal="center" vertical="center"/>
    </xf>
    <xf numFmtId="181" fontId="24" fillId="12" borderId="6" xfId="0" applyNumberFormat="1" applyFont="1" applyFill="1" applyBorder="1" applyAlignment="1">
      <alignment horizontal="center" vertical="center" wrapText="1"/>
    </xf>
    <xf numFmtId="0" fontId="23" fillId="12" borderId="6" xfId="0" applyFont="1" applyFill="1" applyBorder="1" applyAlignment="1">
      <alignment horizontal="center" vertical="center"/>
    </xf>
    <xf numFmtId="0" fontId="21" fillId="10" borderId="6" xfId="51" applyFont="1" applyFill="1" applyBorder="1" applyAlignment="1">
      <alignment vertical="center" readingOrder="1"/>
    </xf>
    <xf numFmtId="0" fontId="21" fillId="10" borderId="6" xfId="51" applyFont="1" applyFill="1" applyBorder="1" applyAlignment="1">
      <alignment horizontal="center" vertical="center" readingOrder="1"/>
    </xf>
    <xf numFmtId="182" fontId="17" fillId="10" borderId="6" xfId="0" applyNumberFormat="1" applyFont="1" applyFill="1" applyBorder="1" applyAlignment="1">
      <alignment horizontal="center" vertical="center" wrapText="1"/>
    </xf>
    <xf numFmtId="0" fontId="21" fillId="10" borderId="6" xfId="51" applyFont="1" applyFill="1" applyBorder="1" applyAlignment="1">
      <alignment horizontal="center" vertical="center" wrapText="1" readingOrder="1"/>
    </xf>
    <xf numFmtId="182" fontId="17" fillId="10" borderId="6" xfId="0" applyNumberFormat="1" applyFont="1" applyFill="1" applyBorder="1" applyAlignment="1">
      <alignment horizontal="center" vertical="center"/>
    </xf>
    <xf numFmtId="182" fontId="17" fillId="9" borderId="6" xfId="0" applyNumberFormat="1" applyFont="1" applyFill="1" applyBorder="1" applyAlignment="1">
      <alignment horizontal="center" vertical="center" wrapText="1"/>
    </xf>
    <xf numFmtId="182" fontId="17" fillId="13" borderId="6" xfId="0" applyNumberFormat="1" applyFont="1" applyFill="1" applyBorder="1" applyAlignment="1">
      <alignment horizontal="center" vertical="center" wrapText="1"/>
    </xf>
    <xf numFmtId="0" fontId="17" fillId="10" borderId="0" xfId="0" applyNumberFormat="1" applyFont="1" applyFill="1" applyBorder="1" applyAlignment="1">
      <alignment horizontal="center" vertical="center"/>
    </xf>
    <xf numFmtId="0" fontId="25" fillId="14" borderId="6" xfId="0" applyFont="1" applyFill="1" applyBorder="1" applyAlignment="1">
      <alignment horizontal="center" vertical="center" wrapText="1"/>
    </xf>
    <xf numFmtId="183" fontId="23" fillId="10" borderId="6" xfId="51" applyNumberFormat="1" applyFont="1" applyFill="1" applyBorder="1" applyAlignment="1">
      <alignment horizontal="center" vertical="center" wrapText="1"/>
    </xf>
    <xf numFmtId="0" fontId="20" fillId="10" borderId="6" xfId="0" applyFont="1" applyFill="1" applyBorder="1" applyAlignment="1">
      <alignment horizontal="center" vertical="center"/>
    </xf>
    <xf numFmtId="0" fontId="17" fillId="15" borderId="6" xfId="0" applyNumberFormat="1" applyFont="1" applyFill="1" applyBorder="1" applyAlignment="1">
      <alignment horizontal="center" vertical="center"/>
    </xf>
    <xf numFmtId="0" fontId="17" fillId="15" borderId="7" xfId="0" applyNumberFormat="1" applyFont="1" applyFill="1" applyBorder="1" applyAlignment="1">
      <alignment horizontal="center" vertical="center"/>
    </xf>
    <xf numFmtId="0" fontId="17" fillId="15" borderId="0" xfId="0" applyNumberFormat="1" applyFont="1" applyFill="1" applyAlignment="1">
      <alignment horizontal="center" vertical="center"/>
    </xf>
    <xf numFmtId="0" fontId="17" fillId="0" borderId="6" xfId="51" applyFont="1" applyFill="1" applyBorder="1" applyAlignment="1">
      <alignment horizontal="center" vertical="center" readingOrder="1"/>
    </xf>
    <xf numFmtId="0" fontId="17" fillId="0" borderId="7" xfId="51" applyFont="1" applyBorder="1" applyAlignment="1">
      <alignment horizontal="center" vertical="center" readingOrder="1"/>
    </xf>
    <xf numFmtId="0" fontId="17" fillId="0" borderId="0" xfId="51" applyFont="1" applyAlignment="1">
      <alignment horizontal="center" vertical="center" readingOrder="1"/>
    </xf>
    <xf numFmtId="0" fontId="17" fillId="0" borderId="6" xfId="51" applyFont="1" applyBorder="1" applyAlignment="1">
      <alignment horizontal="center" vertical="center" readingOrder="1"/>
    </xf>
    <xf numFmtId="0" fontId="16" fillId="13" borderId="6" xfId="51" applyFont="1" applyFill="1" applyBorder="1" applyAlignment="1">
      <alignment horizontal="center" vertical="center" wrapText="1" readingOrder="1"/>
    </xf>
    <xf numFmtId="0" fontId="16" fillId="9" borderId="6" xfId="51" applyFont="1" applyFill="1" applyBorder="1" applyAlignment="1">
      <alignment horizontal="center" vertical="center" wrapText="1" readingOrder="1"/>
    </xf>
    <xf numFmtId="0" fontId="23" fillId="9" borderId="6" xfId="51" applyFont="1" applyFill="1" applyBorder="1" applyAlignment="1">
      <alignment horizontal="center" vertical="center" wrapText="1" readingOrder="1"/>
    </xf>
    <xf numFmtId="181" fontId="23" fillId="10" borderId="6" xfId="0" applyNumberFormat="1" applyFont="1" applyFill="1" applyBorder="1" applyAlignment="1">
      <alignment horizontal="center" vertical="center" wrapText="1"/>
    </xf>
    <xf numFmtId="0" fontId="17" fillId="13" borderId="6" xfId="51" applyFont="1" applyFill="1" applyBorder="1" applyAlignment="1">
      <alignment horizontal="center" vertical="center" readingOrder="1"/>
    </xf>
    <xf numFmtId="14" fontId="17" fillId="13" borderId="6" xfId="0" applyNumberFormat="1" applyFont="1" applyFill="1" applyBorder="1" applyAlignment="1">
      <alignment horizontal="center" vertical="center" wrapText="1"/>
    </xf>
    <xf numFmtId="0" fontId="17" fillId="9" borderId="6" xfId="51" applyFont="1" applyFill="1" applyBorder="1" applyAlignment="1">
      <alignment horizontal="center" vertical="center" readingOrder="1"/>
    </xf>
    <xf numFmtId="14" fontId="17" fillId="9" borderId="6" xfId="0" applyNumberFormat="1" applyFont="1" applyFill="1" applyBorder="1" applyAlignment="1">
      <alignment horizontal="center" vertical="center" wrapText="1"/>
    </xf>
    <xf numFmtId="0" fontId="23" fillId="9" borderId="6" xfId="0" applyFont="1" applyFill="1" applyBorder="1" applyAlignment="1">
      <alignment horizontal="center" vertical="center" wrapText="1"/>
    </xf>
    <xf numFmtId="14" fontId="23" fillId="9" borderId="6" xfId="0" applyNumberFormat="1" applyFont="1" applyFill="1" applyBorder="1" applyAlignment="1">
      <alignment horizontal="center" vertical="center" wrapText="1"/>
    </xf>
    <xf numFmtId="181" fontId="23" fillId="9" borderId="6" xfId="0" applyNumberFormat="1" applyFont="1" applyFill="1" applyBorder="1" applyAlignment="1">
      <alignment horizontal="center" vertical="center" wrapText="1"/>
    </xf>
    <xf numFmtId="0" fontId="17" fillId="16" borderId="6" xfId="0" applyFont="1" applyFill="1" applyBorder="1" applyAlignment="1">
      <alignment horizontal="center" vertical="center" wrapText="1"/>
    </xf>
    <xf numFmtId="0" fontId="17" fillId="16" borderId="6" xfId="0" applyFont="1" applyFill="1" applyBorder="1" applyAlignment="1">
      <alignment horizontal="center" vertical="center"/>
    </xf>
    <xf numFmtId="0" fontId="17" fillId="13" borderId="6" xfId="0" applyFont="1" applyFill="1" applyBorder="1" applyAlignment="1">
      <alignment horizontal="center" vertical="center"/>
    </xf>
    <xf numFmtId="0" fontId="17" fillId="9" borderId="6" xfId="0" applyFont="1" applyFill="1" applyBorder="1" applyAlignment="1">
      <alignment horizontal="center" vertical="center"/>
    </xf>
    <xf numFmtId="0" fontId="23" fillId="16" borderId="6" xfId="51" applyFont="1" applyFill="1" applyBorder="1" applyAlignment="1">
      <alignment horizontal="center" vertical="center" wrapText="1" readingOrder="1"/>
    </xf>
    <xf numFmtId="182" fontId="23" fillId="9" borderId="6" xfId="0" applyNumberFormat="1" applyFont="1" applyFill="1" applyBorder="1" applyAlignment="1">
      <alignment horizontal="center" vertical="center" wrapText="1"/>
    </xf>
    <xf numFmtId="183" fontId="23" fillId="10" borderId="6" xfId="51" applyNumberFormat="1" applyFont="1" applyFill="1" applyBorder="1" applyAlignment="1">
      <alignment horizontal="center" vertical="center" wrapText="1" readingOrder="1"/>
    </xf>
    <xf numFmtId="0" fontId="20" fillId="9" borderId="6" xfId="0" applyFont="1" applyFill="1" applyBorder="1" applyAlignment="1">
      <alignment horizontal="center" vertical="center"/>
    </xf>
    <xf numFmtId="0" fontId="17" fillId="9" borderId="0" xfId="51" applyFont="1" applyFill="1" applyAlignment="1">
      <alignment horizontal="center" vertical="center" readingOrder="1"/>
    </xf>
    <xf numFmtId="0" fontId="26" fillId="13" borderId="6" xfId="0" applyFont="1" applyFill="1" applyBorder="1" applyAlignment="1">
      <alignment horizontal="center" vertical="center" wrapText="1"/>
    </xf>
    <xf numFmtId="0" fontId="26" fillId="13" borderId="6" xfId="51" applyFont="1" applyFill="1" applyBorder="1" applyAlignment="1">
      <alignment horizontal="center" vertical="center" wrapText="1" readingOrder="1"/>
    </xf>
    <xf numFmtId="0" fontId="21" fillId="0" borderId="6" xfId="51" applyFont="1" applyBorder="1" applyAlignment="1">
      <alignment horizontal="center" vertical="center" readingOrder="1"/>
    </xf>
    <xf numFmtId="0" fontId="27" fillId="13" borderId="6" xfId="51" applyFont="1" applyFill="1" applyBorder="1" applyAlignment="1">
      <alignment horizontal="center" vertical="center" wrapText="1" readingOrder="1"/>
    </xf>
    <xf numFmtId="0" fontId="28" fillId="13" borderId="6" xfId="51" applyFont="1" applyFill="1" applyBorder="1" applyAlignment="1">
      <alignment horizontal="center" vertical="center" wrapText="1" readingOrder="1"/>
    </xf>
    <xf numFmtId="0" fontId="21" fillId="0" borderId="6" xfId="51" applyFont="1" applyFill="1" applyBorder="1" applyAlignment="1">
      <alignment horizontal="center" vertical="center" readingOrder="1"/>
    </xf>
    <xf numFmtId="0" fontId="29" fillId="10" borderId="0" xfId="0" applyFont="1" applyFill="1" applyAlignment="1">
      <alignment horizontal="center" vertical="center"/>
    </xf>
    <xf numFmtId="14" fontId="26" fillId="13" borderId="6" xfId="0" applyNumberFormat="1" applyFont="1" applyFill="1" applyBorder="1" applyAlignment="1">
      <alignment horizontal="center" vertical="center" wrapText="1"/>
    </xf>
    <xf numFmtId="181" fontId="26" fillId="13" borderId="6" xfId="0" applyNumberFormat="1" applyFont="1" applyFill="1" applyBorder="1" applyAlignment="1">
      <alignment horizontal="center" vertical="center" wrapText="1"/>
    </xf>
    <xf numFmtId="181" fontId="27" fillId="13" borderId="6" xfId="0" applyNumberFormat="1" applyFont="1" applyFill="1" applyBorder="1" applyAlignment="1">
      <alignment horizontal="center" vertical="center" wrapText="1"/>
    </xf>
    <xf numFmtId="0" fontId="27" fillId="13" borderId="6" xfId="0" applyFont="1" applyFill="1" applyBorder="1" applyAlignment="1">
      <alignment horizontal="center" vertical="center" wrapText="1"/>
    </xf>
    <xf numFmtId="14" fontId="27" fillId="13" borderId="6" xfId="0" applyNumberFormat="1" applyFont="1" applyFill="1" applyBorder="1" applyAlignment="1">
      <alignment horizontal="center" vertical="center" wrapText="1"/>
    </xf>
    <xf numFmtId="0" fontId="26" fillId="13" borderId="6" xfId="51" applyFont="1" applyFill="1" applyBorder="1" applyAlignment="1">
      <alignment horizontal="center" vertical="center" readingOrder="1"/>
    </xf>
    <xf numFmtId="0" fontId="26" fillId="13" borderId="6" xfId="0" applyFont="1" applyFill="1" applyBorder="1" applyAlignment="1">
      <alignment horizontal="center" vertical="center"/>
    </xf>
    <xf numFmtId="182" fontId="17" fillId="9" borderId="6" xfId="0" applyNumberFormat="1" applyFont="1" applyFill="1" applyBorder="1" applyAlignment="1">
      <alignment horizontal="center" vertical="center"/>
    </xf>
    <xf numFmtId="182" fontId="26" fillId="13" borderId="6" xfId="0" applyNumberFormat="1" applyFont="1" applyFill="1" applyBorder="1" applyAlignment="1">
      <alignment horizontal="center" vertical="center" wrapText="1"/>
    </xf>
    <xf numFmtId="182" fontId="27" fillId="13" borderId="6" xfId="0" applyNumberFormat="1" applyFont="1" applyFill="1" applyBorder="1" applyAlignment="1">
      <alignment horizontal="center" vertical="center" wrapText="1"/>
    </xf>
    <xf numFmtId="0" fontId="21" fillId="13" borderId="6" xfId="51" applyFont="1" applyFill="1" applyBorder="1" applyAlignment="1">
      <alignment horizontal="center" vertical="center" wrapText="1" readingOrder="1"/>
    </xf>
    <xf numFmtId="182" fontId="26" fillId="13" borderId="6" xfId="0" applyNumberFormat="1" applyFont="1" applyFill="1" applyBorder="1" applyAlignment="1">
      <alignment horizontal="center" vertical="center"/>
    </xf>
    <xf numFmtId="179" fontId="17" fillId="10" borderId="6" xfId="0" applyNumberFormat="1" applyFont="1" applyFill="1" applyBorder="1" applyAlignment="1">
      <alignment horizontal="center" vertical="center"/>
    </xf>
    <xf numFmtId="0" fontId="23" fillId="10" borderId="6" xfId="0" applyFont="1" applyFill="1" applyBorder="1" applyAlignment="1">
      <alignment horizontal="center" vertical="center"/>
    </xf>
    <xf numFmtId="183" fontId="30" fillId="10" borderId="6" xfId="0" applyNumberFormat="1" applyFont="1" applyFill="1" applyBorder="1" applyAlignment="1">
      <alignment horizontal="center" vertical="center"/>
    </xf>
    <xf numFmtId="181" fontId="16" fillId="10" borderId="6" xfId="0" applyNumberFormat="1" applyFont="1" applyFill="1" applyBorder="1" applyAlignment="1">
      <alignment horizontal="center" vertical="center"/>
    </xf>
    <xf numFmtId="183" fontId="20" fillId="10" borderId="0" xfId="0" applyNumberFormat="1" applyFont="1" applyFill="1" applyBorder="1" applyAlignment="1">
      <alignment horizontal="center" vertical="center"/>
    </xf>
    <xf numFmtId="0" fontId="20" fillId="10" borderId="0" xfId="0" applyFont="1" applyFill="1" applyBorder="1" applyAlignment="1">
      <alignment horizontal="center" vertical="center"/>
    </xf>
    <xf numFmtId="183" fontId="22" fillId="10" borderId="0" xfId="0" applyNumberFormat="1" applyFont="1" applyFill="1" applyAlignment="1">
      <alignment horizontal="center" vertical="center"/>
    </xf>
    <xf numFmtId="183" fontId="20" fillId="10" borderId="0" xfId="0" applyNumberFormat="1" applyFont="1" applyFill="1" applyAlignment="1">
      <alignment horizontal="center" vertical="center"/>
    </xf>
    <xf numFmtId="0" fontId="31" fillId="10" borderId="0" xfId="0" applyFont="1" applyFill="1" applyAlignment="1">
      <alignment horizontal="center" vertical="center"/>
    </xf>
    <xf numFmtId="0" fontId="32" fillId="10" borderId="0" xfId="0" applyFont="1" applyFill="1" applyAlignment="1">
      <alignment horizontal="center" vertical="center"/>
    </xf>
    <xf numFmtId="0" fontId="33" fillId="10" borderId="0" xfId="6" applyFill="1" applyAlignment="1">
      <alignment horizontal="center" vertical="center"/>
    </xf>
    <xf numFmtId="183" fontId="27" fillId="13" borderId="6" xfId="51" applyNumberFormat="1" applyFont="1" applyFill="1" applyBorder="1" applyAlignment="1">
      <alignment horizontal="center" vertical="center" wrapText="1"/>
    </xf>
    <xf numFmtId="0" fontId="34" fillId="13" borderId="6" xfId="0" applyFont="1" applyFill="1" applyBorder="1" applyAlignment="1">
      <alignment horizontal="center" vertical="center"/>
    </xf>
    <xf numFmtId="179" fontId="20" fillId="10" borderId="6" xfId="0" applyNumberFormat="1" applyFont="1" applyFill="1" applyBorder="1" applyAlignment="1">
      <alignment horizontal="center" vertical="center"/>
    </xf>
    <xf numFmtId="0" fontId="20" fillId="10" borderId="6" xfId="0" applyNumberFormat="1" applyFont="1" applyFill="1" applyBorder="1" applyAlignment="1">
      <alignment horizontal="center" vertical="center"/>
    </xf>
    <xf numFmtId="183" fontId="31" fillId="10" borderId="6" xfId="0" applyNumberFormat="1" applyFont="1" applyFill="1" applyBorder="1" applyAlignment="1">
      <alignment horizontal="center" vertical="center"/>
    </xf>
    <xf numFmtId="0" fontId="32" fillId="10" borderId="6" xfId="0" applyNumberFormat="1" applyFont="1" applyFill="1" applyBorder="1" applyAlignment="1">
      <alignment horizontal="center" vertical="center"/>
    </xf>
    <xf numFmtId="0" fontId="17" fillId="10" borderId="6" xfId="0" applyNumberFormat="1" applyFont="1" applyFill="1" applyBorder="1" applyAlignment="1">
      <alignment horizontal="center" vertical="center"/>
    </xf>
    <xf numFmtId="0" fontId="32" fillId="10" borderId="0" xfId="0" applyNumberFormat="1" applyFont="1" applyFill="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6" xfId="0" applyFont="1" applyBorder="1" applyAlignment="1">
      <alignment horizontal="center" vertical="center" wrapText="1"/>
    </xf>
    <xf numFmtId="179" fontId="17" fillId="0" borderId="6" xfId="3" applyNumberFormat="1" applyFont="1" applyBorder="1" applyAlignment="1">
      <alignment horizontal="center" vertical="center"/>
    </xf>
    <xf numFmtId="0" fontId="35" fillId="17" borderId="6" xfId="0" applyFont="1" applyFill="1" applyBorder="1" applyAlignment="1">
      <alignment horizontal="left" vertical="center" wrapText="1"/>
    </xf>
    <xf numFmtId="58" fontId="35" fillId="17" borderId="6" xfId="0" applyNumberFormat="1" applyFont="1" applyFill="1" applyBorder="1" applyAlignment="1">
      <alignment horizontal="left" vertical="center" wrapText="1"/>
    </xf>
    <xf numFmtId="58" fontId="23" fillId="0" borderId="6" xfId="0" applyNumberFormat="1" applyFont="1" applyBorder="1" applyAlignment="1">
      <alignment horizontal="left" vertical="center" wrapText="1"/>
    </xf>
    <xf numFmtId="0" fontId="23" fillId="0" borderId="6" xfId="0" applyFont="1" applyBorder="1" applyAlignment="1">
      <alignment horizontal="left" vertical="center" wrapText="1"/>
    </xf>
    <xf numFmtId="14" fontId="23" fillId="0" borderId="6" xfId="0" applyNumberFormat="1" applyFont="1" applyBorder="1" applyAlignment="1">
      <alignment horizontal="left" vertical="center" wrapText="1"/>
    </xf>
    <xf numFmtId="0" fontId="17" fillId="0" borderId="6" xfId="0" applyFont="1" applyBorder="1" applyAlignment="1">
      <alignment vertical="center" wrapText="1"/>
    </xf>
    <xf numFmtId="58" fontId="23" fillId="0" borderId="6" xfId="0" applyNumberFormat="1" applyFont="1" applyBorder="1" applyAlignment="1">
      <alignment vertical="center" wrapText="1"/>
    </xf>
    <xf numFmtId="14" fontId="17" fillId="0" borderId="6" xfId="0" applyNumberFormat="1" applyFont="1" applyBorder="1" applyAlignment="1">
      <alignment vertical="center"/>
    </xf>
    <xf numFmtId="0" fontId="12" fillId="0" borderId="22" xfId="51" applyBorder="1">
      <alignment vertical="center"/>
    </xf>
    <xf numFmtId="0" fontId="12" fillId="0" borderId="0" xfId="51" applyBorder="1">
      <alignment vertical="center"/>
    </xf>
    <xf numFmtId="0" fontId="12" fillId="0" borderId="23" xfId="51" applyBorder="1">
      <alignment vertical="center"/>
    </xf>
    <xf numFmtId="0" fontId="12" fillId="0" borderId="6" xfId="51" applyBorder="1">
      <alignment vertical="center"/>
    </xf>
    <xf numFmtId="0" fontId="12" fillId="0" borderId="6" xfId="51" applyBorder="1" applyAlignment="1">
      <alignment horizontal="left" vertical="center"/>
    </xf>
    <xf numFmtId="9" fontId="0" fillId="0" borderId="6" xfId="50" applyFont="1" applyBorder="1">
      <alignment vertical="center"/>
    </xf>
    <xf numFmtId="0" fontId="12" fillId="0" borderId="15" xfId="51" applyBorder="1">
      <alignment vertical="center"/>
    </xf>
    <xf numFmtId="0" fontId="36" fillId="18" borderId="6" xfId="51" applyFont="1" applyFill="1" applyBorder="1" applyAlignment="1">
      <alignment horizontal="center" vertical="center" wrapText="1"/>
    </xf>
    <xf numFmtId="0" fontId="36" fillId="18" borderId="6" xfId="51" applyFont="1" applyFill="1" applyBorder="1" applyAlignment="1">
      <alignment horizontal="left" vertical="center" wrapText="1"/>
    </xf>
    <xf numFmtId="9" fontId="36" fillId="18" borderId="6" xfId="50" applyFont="1" applyFill="1" applyBorder="1" applyAlignment="1">
      <alignment horizontal="left" vertical="center" wrapText="1"/>
    </xf>
    <xf numFmtId="0" fontId="37" fillId="3" borderId="24" xfId="51" applyFont="1" applyFill="1" applyBorder="1" applyAlignment="1">
      <alignment horizontal="center" vertical="center" wrapText="1" readingOrder="1"/>
    </xf>
    <xf numFmtId="0" fontId="38" fillId="3" borderId="6" xfId="51" applyFont="1" applyFill="1" applyBorder="1" applyAlignment="1">
      <alignment horizontal="center" vertical="center" wrapText="1" readingOrder="1"/>
    </xf>
    <xf numFmtId="0" fontId="38" fillId="0" borderId="6" xfId="0" applyFont="1" applyFill="1" applyBorder="1" applyAlignment="1">
      <alignment horizontal="left" vertical="center" wrapText="1"/>
    </xf>
    <xf numFmtId="0" fontId="39" fillId="0" borderId="6" xfId="0" applyFont="1" applyFill="1" applyBorder="1" applyAlignment="1">
      <alignment horizontal="left" vertical="center" wrapText="1"/>
    </xf>
    <xf numFmtId="9" fontId="37" fillId="3" borderId="6" xfId="50" applyNumberFormat="1" applyFont="1" applyFill="1" applyBorder="1" applyAlignment="1">
      <alignment horizontal="left" vertical="center" wrapText="1"/>
    </xf>
    <xf numFmtId="0" fontId="37" fillId="3" borderId="6" xfId="51" applyFont="1" applyFill="1" applyBorder="1" applyAlignment="1">
      <alignment horizontal="center" vertical="center" wrapText="1"/>
    </xf>
    <xf numFmtId="0" fontId="37" fillId="3" borderId="25" xfId="51" applyFont="1" applyFill="1" applyBorder="1" applyAlignment="1">
      <alignment horizontal="center" vertical="center" wrapText="1" readingOrder="1"/>
    </xf>
    <xf numFmtId="0" fontId="40" fillId="0" borderId="6" xfId="0" applyFont="1" applyFill="1" applyBorder="1" applyAlignment="1">
      <alignment horizontal="left" vertical="center" wrapText="1"/>
    </xf>
    <xf numFmtId="0" fontId="38" fillId="3" borderId="6" xfId="51" applyFont="1" applyFill="1" applyBorder="1" applyAlignment="1">
      <alignment horizontal="left" vertical="center" wrapText="1" readingOrder="1"/>
    </xf>
    <xf numFmtId="0" fontId="37" fillId="3" borderId="6" xfId="51" applyFont="1" applyFill="1" applyBorder="1" applyAlignment="1">
      <alignment horizontal="left" vertical="center" wrapText="1" readingOrder="1"/>
    </xf>
    <xf numFmtId="0" fontId="37" fillId="3" borderId="23" xfId="51" applyFont="1" applyFill="1" applyBorder="1" applyAlignment="1">
      <alignment horizontal="center" vertical="center" wrapText="1" readingOrder="1"/>
    </xf>
    <xf numFmtId="0" fontId="38" fillId="3" borderId="24" xfId="51" applyFont="1" applyFill="1" applyBorder="1" applyAlignment="1">
      <alignment horizontal="center" vertical="center" wrapText="1" readingOrder="1"/>
    </xf>
    <xf numFmtId="0" fontId="38" fillId="3" borderId="25" xfId="51" applyFont="1" applyFill="1" applyBorder="1" applyAlignment="1">
      <alignment horizontal="center" vertical="center" wrapText="1" readingOrder="1"/>
    </xf>
    <xf numFmtId="9" fontId="37" fillId="3" borderId="6" xfId="50" applyFont="1" applyFill="1" applyBorder="1" applyAlignment="1">
      <alignment horizontal="left" vertical="center" wrapText="1"/>
    </xf>
    <xf numFmtId="0" fontId="38" fillId="3" borderId="23" xfId="51" applyFont="1" applyFill="1" applyBorder="1" applyAlignment="1">
      <alignment horizontal="center" vertical="center" wrapText="1" readingOrder="1"/>
    </xf>
    <xf numFmtId="0" fontId="40" fillId="3" borderId="6" xfId="51" applyFont="1" applyFill="1" applyBorder="1" applyAlignment="1">
      <alignment horizontal="center" vertical="center" wrapText="1" readingOrder="1"/>
    </xf>
    <xf numFmtId="0" fontId="40" fillId="3" borderId="6" xfId="51" applyFont="1" applyFill="1" applyBorder="1" applyAlignment="1">
      <alignment horizontal="left" vertical="center" wrapText="1" readingOrder="1"/>
    </xf>
    <xf numFmtId="0" fontId="38" fillId="0" borderId="6" xfId="51" applyFont="1" applyFill="1" applyBorder="1" applyAlignment="1">
      <alignment horizontal="left" vertical="center" wrapText="1" readingOrder="1"/>
    </xf>
    <xf numFmtId="0" fontId="38" fillId="3" borderId="24" xfId="51" applyFont="1" applyFill="1" applyBorder="1" applyAlignment="1">
      <alignment horizontal="left" vertical="center" wrapText="1" readingOrder="1"/>
    </xf>
    <xf numFmtId="0" fontId="38" fillId="3" borderId="23" xfId="51" applyFont="1" applyFill="1" applyBorder="1" applyAlignment="1">
      <alignment horizontal="left" vertical="center" wrapText="1" readingOrder="1"/>
    </xf>
    <xf numFmtId="0" fontId="37" fillId="3" borderId="6" xfId="51" applyFont="1" applyFill="1" applyBorder="1" applyAlignment="1">
      <alignment horizontal="left" vertical="center" wrapText="1"/>
    </xf>
    <xf numFmtId="57" fontId="37" fillId="3" borderId="6" xfId="51" applyNumberFormat="1" applyFont="1" applyFill="1" applyBorder="1" applyAlignment="1">
      <alignment horizontal="center" vertical="center" wrapText="1"/>
    </xf>
    <xf numFmtId="0" fontId="37" fillId="3" borderId="24" xfId="51" applyFont="1" applyFill="1" applyBorder="1" applyAlignment="1">
      <alignment horizontal="center" vertical="center" wrapText="1"/>
    </xf>
    <xf numFmtId="0" fontId="37" fillId="3" borderId="25" xfId="51" applyFont="1" applyFill="1" applyBorder="1" applyAlignment="1">
      <alignment horizontal="center" vertical="center" wrapText="1"/>
    </xf>
    <xf numFmtId="0" fontId="37" fillId="3" borderId="23" xfId="51" applyFont="1" applyFill="1" applyBorder="1" applyAlignment="1">
      <alignment horizontal="center" vertical="center" wrapText="1"/>
    </xf>
    <xf numFmtId="0" fontId="12" fillId="0" borderId="6" xfId="51" applyBorder="1" applyAlignment="1">
      <alignment horizontal="center" vertical="center"/>
    </xf>
    <xf numFmtId="0" fontId="38" fillId="0" borderId="6" xfId="51" applyFont="1" applyBorder="1" applyAlignment="1">
      <alignment horizontal="left" vertical="center" wrapText="1"/>
    </xf>
    <xf numFmtId="0" fontId="37" fillId="0" borderId="24" xfId="51" applyFont="1" applyBorder="1" applyAlignment="1">
      <alignment horizontal="center" vertical="center" wrapText="1"/>
    </xf>
    <xf numFmtId="0" fontId="39" fillId="0" borderId="24" xfId="0" applyFont="1" applyFill="1" applyBorder="1" applyAlignment="1">
      <alignment horizontal="center" vertical="center" wrapText="1"/>
    </xf>
    <xf numFmtId="0" fontId="39" fillId="0" borderId="6" xfId="0" applyFont="1" applyFill="1" applyBorder="1" applyAlignment="1">
      <alignment horizontal="center" vertical="center" wrapText="1"/>
    </xf>
    <xf numFmtId="0" fontId="37" fillId="0" borderId="6" xfId="0" applyFont="1" applyFill="1" applyBorder="1" applyAlignment="1">
      <alignment horizontal="left" vertical="center" wrapText="1"/>
    </xf>
    <xf numFmtId="0" fontId="37" fillId="0" borderId="25" xfId="51" applyFont="1" applyBorder="1" applyAlignment="1">
      <alignment horizontal="center" vertical="center" wrapText="1"/>
    </xf>
    <xf numFmtId="0" fontId="39" fillId="0" borderId="25" xfId="0" applyFont="1" applyFill="1" applyBorder="1" applyAlignment="1">
      <alignment horizontal="center" vertical="center" wrapText="1"/>
    </xf>
    <xf numFmtId="0" fontId="37" fillId="0" borderId="6" xfId="0" applyFont="1" applyFill="1" applyBorder="1" applyAlignment="1">
      <alignment horizontal="center" vertical="center" wrapText="1"/>
    </xf>
    <xf numFmtId="0" fontId="38" fillId="19" borderId="6" xfId="0" applyFont="1" applyFill="1" applyBorder="1" applyAlignment="1">
      <alignment horizontal="left" vertical="center" wrapText="1"/>
    </xf>
    <xf numFmtId="0" fontId="37" fillId="9" borderId="6" xfId="0" applyFont="1" applyFill="1" applyBorder="1" applyAlignment="1">
      <alignment horizontal="center" vertical="center" wrapText="1"/>
    </xf>
    <xf numFmtId="0" fontId="37" fillId="3" borderId="25" xfId="51" applyFont="1" applyFill="1" applyBorder="1" applyAlignment="1">
      <alignment vertical="center" wrapText="1"/>
    </xf>
    <xf numFmtId="0" fontId="37" fillId="3" borderId="6" xfId="51" applyFont="1" applyFill="1" applyBorder="1" applyAlignment="1">
      <alignment vertical="center" wrapText="1"/>
    </xf>
    <xf numFmtId="57" fontId="37" fillId="0" borderId="6" xfId="51" applyNumberFormat="1" applyFont="1" applyBorder="1" applyAlignment="1">
      <alignment horizontal="center" vertical="center" wrapText="1"/>
    </xf>
    <xf numFmtId="0" fontId="37" fillId="0" borderId="6" xfId="51" applyFont="1" applyBorder="1" applyAlignment="1">
      <alignment horizontal="center" vertical="center" wrapText="1"/>
    </xf>
    <xf numFmtId="0" fontId="37" fillId="0" borderId="24" xfId="0" applyFont="1" applyFill="1" applyBorder="1" applyAlignment="1">
      <alignment horizontal="center" vertical="center" wrapText="1"/>
    </xf>
    <xf numFmtId="0" fontId="41" fillId="19" borderId="6" xfId="0" applyFont="1" applyFill="1" applyBorder="1" applyAlignment="1">
      <alignment horizontal="left" vertical="center" wrapText="1"/>
    </xf>
    <xf numFmtId="0" fontId="41" fillId="0" borderId="6" xfId="0" applyFont="1" applyFill="1" applyBorder="1" applyAlignment="1">
      <alignment horizontal="left" vertical="center" wrapText="1"/>
    </xf>
    <xf numFmtId="0" fontId="37" fillId="0" borderId="25" xfId="0" applyFont="1" applyFill="1" applyBorder="1" applyAlignment="1">
      <alignment horizontal="center" vertical="center" wrapText="1"/>
    </xf>
    <xf numFmtId="0" fontId="37" fillId="0" borderId="23" xfId="0" applyFont="1" applyFill="1" applyBorder="1" applyAlignment="1">
      <alignment horizontal="center" vertical="center" wrapText="1"/>
    </xf>
    <xf numFmtId="0" fontId="39" fillId="0" borderId="23" xfId="0" applyFont="1" applyFill="1" applyBorder="1" applyAlignment="1">
      <alignment horizontal="center" vertical="center" wrapText="1"/>
    </xf>
    <xf numFmtId="0" fontId="12" fillId="0" borderId="22" xfId="51" applyBorder="1" applyAlignment="1">
      <alignment horizontal="left" vertical="center"/>
    </xf>
    <xf numFmtId="9" fontId="0" fillId="0" borderId="22" xfId="50" applyFont="1" applyBorder="1">
      <alignment vertical="center"/>
    </xf>
    <xf numFmtId="0" fontId="14" fillId="0" borderId="0" xfId="51" applyFont="1" applyAlignment="1">
      <alignment horizontal="center" vertical="center" wrapText="1"/>
    </xf>
    <xf numFmtId="0" fontId="12" fillId="0" borderId="0" xfId="51" applyAlignment="1">
      <alignment horizontal="center" vertical="center"/>
    </xf>
    <xf numFmtId="0" fontId="12" fillId="0" borderId="0" xfId="51" applyBorder="1" applyAlignment="1">
      <alignment horizontal="left" vertical="center"/>
    </xf>
    <xf numFmtId="9" fontId="0" fillId="0" borderId="0" xfId="50" applyFont="1" applyBorder="1">
      <alignment vertical="center"/>
    </xf>
    <xf numFmtId="57" fontId="38" fillId="0" borderId="6" xfId="51" applyNumberFormat="1" applyFont="1" applyBorder="1" applyAlignment="1">
      <alignment horizontal="center" vertical="center" wrapText="1"/>
    </xf>
    <xf numFmtId="0" fontId="37" fillId="0" borderId="23" xfId="51" applyFont="1" applyBorder="1" applyAlignment="1">
      <alignment horizontal="center" vertical="center" wrapText="1"/>
    </xf>
    <xf numFmtId="0" fontId="38" fillId="0" borderId="6" xfId="51" applyFont="1" applyBorder="1" applyAlignment="1">
      <alignment horizontal="center" vertical="center" wrapText="1"/>
    </xf>
    <xf numFmtId="0" fontId="12" fillId="0" borderId="23" xfId="51" applyBorder="1" applyAlignment="1">
      <alignment horizontal="left" vertical="center"/>
    </xf>
    <xf numFmtId="9" fontId="0" fillId="0" borderId="23" xfId="50" applyFont="1" applyBorder="1">
      <alignment vertical="center"/>
    </xf>
    <xf numFmtId="0" fontId="12" fillId="0" borderId="21" xfId="51" applyBorder="1">
      <alignment vertical="center"/>
    </xf>
    <xf numFmtId="0" fontId="42" fillId="0" borderId="0" xfId="0" applyFont="1" applyFill="1" applyAlignment="1">
      <alignment vertical="center"/>
    </xf>
    <xf numFmtId="0" fontId="12" fillId="0" borderId="0" xfId="0" applyFont="1" applyFill="1" applyAlignment="1">
      <alignment vertical="center"/>
    </xf>
    <xf numFmtId="0" fontId="12" fillId="0" borderId="0" xfId="0" applyFont="1" applyFill="1" applyAlignment="1">
      <alignment horizontal="center" vertical="center"/>
    </xf>
    <xf numFmtId="9" fontId="0" fillId="0" borderId="0" xfId="50" applyFont="1">
      <alignment vertical="center"/>
    </xf>
    <xf numFmtId="0" fontId="12" fillId="0" borderId="0" xfId="51">
      <alignment vertical="center"/>
    </xf>
    <xf numFmtId="0" fontId="43" fillId="18" borderId="24" xfId="0" applyFont="1" applyFill="1" applyBorder="1" applyAlignment="1">
      <alignment horizontal="center" vertical="center" wrapText="1"/>
    </xf>
    <xf numFmtId="0" fontId="43" fillId="18" borderId="24" xfId="51" applyFont="1" applyFill="1" applyBorder="1" applyAlignment="1">
      <alignment horizontal="center" vertical="center" wrapText="1"/>
    </xf>
    <xf numFmtId="0" fontId="44" fillId="0" borderId="6" xfId="0" applyFont="1" applyFill="1" applyBorder="1" applyAlignment="1">
      <alignment horizontal="center" vertical="center" wrapText="1" readingOrder="1"/>
    </xf>
    <xf numFmtId="0" fontId="44" fillId="0" borderId="6" xfId="0" applyFont="1" applyFill="1" applyBorder="1" applyAlignment="1">
      <alignment horizontal="center" vertical="center"/>
    </xf>
    <xf numFmtId="0" fontId="44" fillId="0" borderId="6" xfId="0" applyFont="1" applyFill="1" applyBorder="1" applyAlignment="1">
      <alignment horizontal="center" vertical="center" wrapText="1"/>
    </xf>
    <xf numFmtId="0" fontId="44" fillId="0" borderId="6" xfId="0" applyFont="1" applyFill="1" applyBorder="1" applyAlignment="1">
      <alignment vertical="center" wrapText="1"/>
    </xf>
    <xf numFmtId="9" fontId="45" fillId="3" borderId="6" xfId="50" applyNumberFormat="1" applyFont="1" applyFill="1" applyBorder="1" applyAlignment="1">
      <alignment vertical="center" wrapText="1"/>
    </xf>
    <xf numFmtId="0" fontId="45" fillId="3" borderId="6" xfId="51" applyFont="1" applyFill="1" applyBorder="1" applyAlignment="1">
      <alignment vertical="center" wrapText="1"/>
    </xf>
    <xf numFmtId="0" fontId="44" fillId="0" borderId="6" xfId="0" applyFont="1" applyFill="1" applyBorder="1" applyAlignment="1">
      <alignment vertical="center"/>
    </xf>
    <xf numFmtId="0" fontId="45" fillId="0" borderId="0" xfId="51" applyFont="1">
      <alignment vertical="center"/>
    </xf>
    <xf numFmtId="0" fontId="14" fillId="0" borderId="0" xfId="0" applyFont="1" applyFill="1" applyAlignment="1">
      <alignment horizontal="center" vertical="center"/>
    </xf>
    <xf numFmtId="0" fontId="43" fillId="18" borderId="24" xfId="0" applyFont="1" applyFill="1" applyBorder="1" applyAlignment="1">
      <alignment horizontal="center" vertical="center"/>
    </xf>
    <xf numFmtId="0" fontId="45" fillId="3" borderId="6" xfId="51" applyFont="1" applyFill="1" applyBorder="1" applyAlignment="1">
      <alignment horizontal="center" vertical="center" wrapText="1"/>
    </xf>
    <xf numFmtId="0" fontId="46" fillId="0" borderId="6" xfId="0" applyFont="1" applyFill="1" applyBorder="1" applyAlignment="1">
      <alignment vertical="center" wrapText="1"/>
    </xf>
    <xf numFmtId="0" fontId="12" fillId="0" borderId="0" xfId="51" applyAlignment="1">
      <alignment horizontal="left" vertical="center"/>
    </xf>
    <xf numFmtId="0" fontId="43" fillId="18" borderId="24" xfId="51" applyFont="1" applyFill="1" applyBorder="1" applyAlignment="1">
      <alignment horizontal="left" vertical="center" wrapText="1"/>
    </xf>
    <xf numFmtId="0" fontId="45" fillId="3" borderId="6" xfId="51" applyFont="1" applyFill="1" applyBorder="1" applyAlignment="1">
      <alignment horizontal="center" vertical="center" wrapText="1" readingOrder="1"/>
    </xf>
    <xf numFmtId="0" fontId="47" fillId="3" borderId="6" xfId="51" applyFont="1" applyFill="1" applyBorder="1" applyAlignment="1">
      <alignment horizontal="center" vertical="center" wrapText="1" readingOrder="1"/>
    </xf>
    <xf numFmtId="0" fontId="47" fillId="3" borderId="6" xfId="51" applyFont="1" applyFill="1" applyBorder="1" applyAlignment="1">
      <alignment horizontal="left" vertical="center" wrapText="1" readingOrder="1"/>
    </xf>
    <xf numFmtId="0" fontId="47" fillId="3" borderId="6" xfId="51" applyFont="1" applyFill="1" applyBorder="1" applyAlignment="1">
      <alignment horizontal="center" vertical="center" readingOrder="1"/>
    </xf>
    <xf numFmtId="0" fontId="47" fillId="3" borderId="24" xfId="51" applyFont="1" applyFill="1" applyBorder="1" applyAlignment="1">
      <alignment horizontal="center" vertical="center" wrapText="1" readingOrder="1"/>
    </xf>
    <xf numFmtId="0" fontId="47" fillId="0" borderId="6" xfId="51" applyFont="1" applyFill="1" applyBorder="1" applyAlignment="1">
      <alignment horizontal="left" vertical="center" wrapText="1" readingOrder="1"/>
    </xf>
    <xf numFmtId="0" fontId="47" fillId="3" borderId="25" xfId="51" applyFont="1" applyFill="1" applyBorder="1" applyAlignment="1">
      <alignment horizontal="center" vertical="center" wrapText="1" readingOrder="1"/>
    </xf>
    <xf numFmtId="0" fontId="47" fillId="3" borderId="23" xfId="51" applyFont="1" applyFill="1" applyBorder="1" applyAlignment="1">
      <alignment horizontal="center" vertical="center" wrapText="1" readingOrder="1"/>
    </xf>
    <xf numFmtId="0" fontId="45" fillId="0" borderId="0" xfId="51" applyFont="1" applyAlignment="1">
      <alignment horizontal="center" vertical="center"/>
    </xf>
    <xf numFmtId="0" fontId="45" fillId="0" borderId="0" xfId="51" applyFont="1" applyAlignment="1">
      <alignment horizontal="left" vertical="center"/>
    </xf>
    <xf numFmtId="0" fontId="45" fillId="3" borderId="24" xfId="51" applyFont="1" applyFill="1" applyBorder="1" applyAlignment="1">
      <alignment horizontal="center" vertical="center" wrapText="1"/>
    </xf>
    <xf numFmtId="0" fontId="45" fillId="3" borderId="25" xfId="51" applyFont="1" applyFill="1" applyBorder="1" applyAlignment="1">
      <alignment horizontal="center" vertical="center" wrapText="1"/>
    </xf>
    <xf numFmtId="0" fontId="45" fillId="3" borderId="23" xfId="51" applyFont="1" applyFill="1" applyBorder="1" applyAlignment="1">
      <alignment horizontal="center" vertical="center" wrapText="1"/>
    </xf>
    <xf numFmtId="179" fontId="45" fillId="3" borderId="6" xfId="51" applyNumberFormat="1" applyFont="1" applyFill="1" applyBorder="1" applyAlignment="1">
      <alignment vertical="center" wrapText="1"/>
    </xf>
    <xf numFmtId="0" fontId="45" fillId="3" borderId="6" xfId="51" applyFont="1" applyFill="1" applyBorder="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2 2" xfId="50"/>
    <cellStyle name="常规 2" xfId="51"/>
    <cellStyle name="常规 3" xfId="52"/>
    <cellStyle name="样式 1" xfId="53"/>
  </cellStyles>
  <dxfs count="1">
    <dxf>
      <fill>
        <patternFill patternType="solid">
          <bgColor rgb="FFFF9900"/>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20844;&#21496;\&#20135;&#21697;baseline\MxDesign&#20135;&#21697;&#22522;&#32447;%20202305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Users\hudehui\AppData\Local\Temp\bc878d22-a39a-429e-b53f-7929aa348ec3_2024&#24180;MxSim.Mechanical&#30130;&#21171;&#27169;&#22359;&#20135;&#21697;&#22522;&#32447;1-17%20(2).zip.ec3\MxDesign&#20135;&#21697;2024&#24180;&#22522;&#32447;V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5.200\&#36808;&#26342;&#36719;&#20214;_&#34892;&#25919;&#21150;\&#20154;&#21147;&#36164;&#28304;&#37096;&#12304;&#37096;&#38376;&#21327;&#20316;&#21306;&#12305;\2024&#24180;&#33457;&#21517;&#20876;V0.1%2020240320&#26356;&#26032;&#32452;&#32455;&#26550;&#2650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预算表"/>
      <sheetName val="项目人工测算表"/>
      <sheetName val="NodeFlow2023年产品基线"/>
      <sheetName val="Wizard2023年产品基线"/>
      <sheetName val="NodeFlow3年路标"/>
      <sheetName val="Wizard3年路标"/>
      <sheetName val="字典代码"/>
    </sheetNames>
    <sheetDataSet>
      <sheetData sheetId="0" refreshError="1"/>
      <sheetData sheetId="1" refreshError="1">
        <row r="17">
          <cell r="K17">
            <v>0</v>
          </cell>
        </row>
      </sheetData>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xSim.MultiPhy多物理场耦合产品基线"/>
      <sheetName val="MxSim.Acoustic-声学仿真产品基线"/>
      <sheetName val="MxSim.Emag-电磁场产品基线"/>
      <sheetName val="项目预算表"/>
      <sheetName val="项目人工费工时定额 "/>
      <sheetName val="NodeFlow24年新基线"/>
      <sheetName val="Wizard24年新基线"/>
      <sheetName val="字典代码表"/>
    </sheetNames>
    <sheetDataSet>
      <sheetData sheetId="0"/>
      <sheetData sheetId="1"/>
      <sheetData sheetId="2"/>
      <sheetData sheetId="3"/>
      <sheetData sheetId="4">
        <row r="17">
          <cell r="L17">
            <v>26.27</v>
          </cell>
        </row>
      </sheetData>
      <sheetData sheetId="5"/>
      <sheetData sheetId="6"/>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字典代码表"/>
      <sheetName val="2024年入离职"/>
      <sheetName val="研发职级202307"/>
      <sheetName val="人员信息结构看板"/>
      <sheetName val="深圳迈曦2024"/>
      <sheetName val="Sheet1"/>
      <sheetName val="数据透视"/>
      <sheetName val="2023离职"/>
      <sheetName val="2022离职"/>
      <sheetName val="劳动合同续签"/>
      <sheetName val="人员政治面貌"/>
      <sheetName val="Sheet3"/>
      <sheetName val="员工年假"/>
      <sheetName val="汽车14"/>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hyperlink" Target="file:///\\\" TargetMode="External"/><Relationship Id="rId2" Type="http://schemas.openxmlformats.org/officeDocument/2006/relationships/vmlDrawing" Target="../drawings/vmlDrawing3.v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4"/>
  <sheetViews>
    <sheetView workbookViewId="0">
      <pane xSplit="4" topLeftCell="E1" activePane="topRight" state="frozen"/>
      <selection/>
      <selection pane="topRight" activeCell="D9" sqref="D9"/>
    </sheetView>
  </sheetViews>
  <sheetFormatPr defaultColWidth="9" defaultRowHeight="14.25"/>
  <cols>
    <col min="1" max="1" width="18.4416666666667" style="312" customWidth="1"/>
    <col min="2" max="2" width="22.1083333333333" style="312" customWidth="1"/>
    <col min="3" max="3" width="22.3333333333333" style="299" customWidth="1"/>
    <col min="4" max="4" width="27" style="299" customWidth="1"/>
    <col min="5" max="5" width="79" style="327" customWidth="1"/>
    <col min="6" max="6" width="30.3833333333333" style="312" customWidth="1"/>
    <col min="7" max="7" width="26.325" style="311" customWidth="1"/>
    <col min="8" max="8" width="11.8833333333333" style="312" customWidth="1"/>
    <col min="9" max="9" width="19.75" style="312" customWidth="1"/>
    <col min="10" max="12" width="32.8833333333333" style="312" customWidth="1"/>
    <col min="13" max="13" width="25.1083333333333" style="312" customWidth="1"/>
    <col min="14" max="16384" width="9" style="312"/>
  </cols>
  <sheetData>
    <row r="1" ht="66" spans="1:13">
      <c r="A1" s="314" t="s">
        <v>0</v>
      </c>
      <c r="B1" s="314" t="s">
        <v>1</v>
      </c>
      <c r="C1" s="314" t="s">
        <v>2</v>
      </c>
      <c r="D1" s="314" t="s">
        <v>3</v>
      </c>
      <c r="E1" s="328" t="s">
        <v>4</v>
      </c>
      <c r="F1" s="314" t="s">
        <v>5</v>
      </c>
      <c r="G1" s="249" t="s">
        <v>6</v>
      </c>
      <c r="H1" s="314" t="s">
        <v>7</v>
      </c>
      <c r="I1" s="314" t="s">
        <v>8</v>
      </c>
      <c r="J1" s="314" t="s">
        <v>9</v>
      </c>
      <c r="K1" s="314" t="s">
        <v>10</v>
      </c>
      <c r="L1" s="314" t="s">
        <v>11</v>
      </c>
      <c r="M1" s="314" t="s">
        <v>12</v>
      </c>
    </row>
    <row r="2" ht="17.25" spans="1:13">
      <c r="A2" s="329" t="s">
        <v>13</v>
      </c>
      <c r="B2" s="330" t="s">
        <v>14</v>
      </c>
      <c r="C2" s="330" t="s">
        <v>15</v>
      </c>
      <c r="D2" s="330" t="s">
        <v>16</v>
      </c>
      <c r="E2" s="331" t="s">
        <v>17</v>
      </c>
      <c r="F2" s="329" t="s">
        <v>18</v>
      </c>
      <c r="G2" s="319" t="s">
        <v>19</v>
      </c>
      <c r="H2" s="320" t="s">
        <v>20</v>
      </c>
      <c r="I2" s="320">
        <v>2024.12</v>
      </c>
      <c r="J2" s="320" t="s">
        <v>21</v>
      </c>
      <c r="K2" s="325" t="s">
        <v>22</v>
      </c>
      <c r="L2" s="320" t="s">
        <v>23</v>
      </c>
      <c r="M2" s="320"/>
    </row>
    <row r="3" ht="17.25" spans="1:13">
      <c r="A3" s="329"/>
      <c r="B3" s="330"/>
      <c r="C3" s="330"/>
      <c r="D3" s="330" t="s">
        <v>24</v>
      </c>
      <c r="E3" s="331" t="s">
        <v>25</v>
      </c>
      <c r="F3" s="329" t="s">
        <v>18</v>
      </c>
      <c r="G3" s="319" t="s">
        <v>19</v>
      </c>
      <c r="H3" s="320" t="s">
        <v>26</v>
      </c>
      <c r="I3" s="320">
        <v>2023.12</v>
      </c>
      <c r="J3" s="320" t="s">
        <v>27</v>
      </c>
      <c r="K3" s="325" t="s">
        <v>28</v>
      </c>
      <c r="L3" s="320" t="s">
        <v>23</v>
      </c>
      <c r="M3" s="320"/>
    </row>
    <row r="4" ht="17.25" spans="1:13">
      <c r="A4" s="329"/>
      <c r="B4" s="330"/>
      <c r="C4" s="330" t="s">
        <v>29</v>
      </c>
      <c r="D4" s="330" t="s">
        <v>30</v>
      </c>
      <c r="E4" s="331" t="s">
        <v>31</v>
      </c>
      <c r="F4" s="329" t="s">
        <v>18</v>
      </c>
      <c r="G4" s="319" t="s">
        <v>19</v>
      </c>
      <c r="H4" s="320" t="s">
        <v>26</v>
      </c>
      <c r="I4" s="320">
        <v>2023.12</v>
      </c>
      <c r="J4" s="320" t="s">
        <v>27</v>
      </c>
      <c r="K4" s="325" t="s">
        <v>28</v>
      </c>
      <c r="L4" s="320" t="s">
        <v>23</v>
      </c>
      <c r="M4" s="320"/>
    </row>
    <row r="5" ht="17.25" spans="1:13">
      <c r="A5" s="329"/>
      <c r="B5" s="330"/>
      <c r="C5" s="330"/>
      <c r="D5" s="330" t="s">
        <v>32</v>
      </c>
      <c r="E5" s="331" t="s">
        <v>33</v>
      </c>
      <c r="F5" s="329" t="s">
        <v>18</v>
      </c>
      <c r="G5" s="319" t="s">
        <v>19</v>
      </c>
      <c r="H5" s="320" t="s">
        <v>20</v>
      </c>
      <c r="I5" s="320">
        <v>2024.12</v>
      </c>
      <c r="J5" s="320" t="s">
        <v>21</v>
      </c>
      <c r="K5" s="325" t="s">
        <v>34</v>
      </c>
      <c r="L5" s="320" t="s">
        <v>23</v>
      </c>
      <c r="M5" s="320"/>
    </row>
    <row r="6" ht="33" customHeight="1" spans="1:13">
      <c r="A6" s="329"/>
      <c r="B6" s="332" t="s">
        <v>35</v>
      </c>
      <c r="C6" s="330" t="s">
        <v>36</v>
      </c>
      <c r="D6" s="330" t="s">
        <v>37</v>
      </c>
      <c r="E6" s="331" t="s">
        <v>38</v>
      </c>
      <c r="F6" s="329" t="s">
        <v>39</v>
      </c>
      <c r="G6" s="319" t="s">
        <v>40</v>
      </c>
      <c r="H6" s="320" t="s">
        <v>26</v>
      </c>
      <c r="I6" s="320">
        <v>2023.6</v>
      </c>
      <c r="J6" s="320" t="s">
        <v>27</v>
      </c>
      <c r="K6" s="339" t="s">
        <v>41</v>
      </c>
      <c r="L6" s="320" t="s">
        <v>23</v>
      </c>
      <c r="M6" s="320"/>
    </row>
    <row r="7" ht="34.5" spans="1:13">
      <c r="A7" s="329"/>
      <c r="B7" s="332"/>
      <c r="C7" s="330"/>
      <c r="D7" s="330" t="s">
        <v>42</v>
      </c>
      <c r="E7" s="331" t="s">
        <v>43</v>
      </c>
      <c r="F7" s="329" t="s">
        <v>39</v>
      </c>
      <c r="G7" s="319" t="s">
        <v>40</v>
      </c>
      <c r="H7" s="320" t="s">
        <v>26</v>
      </c>
      <c r="I7" s="320">
        <v>2023.6</v>
      </c>
      <c r="J7" s="320" t="s">
        <v>27</v>
      </c>
      <c r="K7" s="340"/>
      <c r="L7" s="320" t="s">
        <v>23</v>
      </c>
      <c r="M7" s="320"/>
    </row>
    <row r="8" ht="34.5" spans="1:13">
      <c r="A8" s="329"/>
      <c r="B8" s="332"/>
      <c r="C8" s="330"/>
      <c r="D8" s="330" t="s">
        <v>44</v>
      </c>
      <c r="E8" s="331" t="s">
        <v>45</v>
      </c>
      <c r="F8" s="329" t="s">
        <v>39</v>
      </c>
      <c r="G8" s="319" t="s">
        <v>40</v>
      </c>
      <c r="H8" s="320" t="s">
        <v>26</v>
      </c>
      <c r="I8" s="320">
        <v>2023.6</v>
      </c>
      <c r="J8" s="320" t="s">
        <v>27</v>
      </c>
      <c r="K8" s="340"/>
      <c r="L8" s="320" t="s">
        <v>23</v>
      </c>
      <c r="M8" s="320"/>
    </row>
    <row r="9" ht="34.5" spans="1:13">
      <c r="A9" s="329"/>
      <c r="B9" s="332"/>
      <c r="C9" s="330"/>
      <c r="D9" s="330" t="s">
        <v>46</v>
      </c>
      <c r="E9" s="331" t="s">
        <v>47</v>
      </c>
      <c r="F9" s="329" t="s">
        <v>39</v>
      </c>
      <c r="G9" s="319" t="s">
        <v>40</v>
      </c>
      <c r="H9" s="320" t="s">
        <v>26</v>
      </c>
      <c r="I9" s="320">
        <v>2023.6</v>
      </c>
      <c r="J9" s="320" t="s">
        <v>27</v>
      </c>
      <c r="K9" s="340"/>
      <c r="L9" s="320" t="s">
        <v>23</v>
      </c>
      <c r="M9" s="320"/>
    </row>
    <row r="10" ht="34.5" spans="1:13">
      <c r="A10" s="329"/>
      <c r="B10" s="332"/>
      <c r="C10" s="330"/>
      <c r="D10" s="330" t="s">
        <v>48</v>
      </c>
      <c r="E10" s="331" t="s">
        <v>49</v>
      </c>
      <c r="F10" s="329" t="s">
        <v>39</v>
      </c>
      <c r="G10" s="319" t="s">
        <v>40</v>
      </c>
      <c r="H10" s="320" t="s">
        <v>26</v>
      </c>
      <c r="I10" s="320">
        <v>2023.6</v>
      </c>
      <c r="J10" s="320" t="s">
        <v>27</v>
      </c>
      <c r="K10" s="340"/>
      <c r="L10" s="320" t="s">
        <v>23</v>
      </c>
      <c r="M10" s="320"/>
    </row>
    <row r="11" ht="34.5" spans="1:13">
      <c r="A11" s="329"/>
      <c r="B11" s="332"/>
      <c r="C11" s="330"/>
      <c r="D11" s="330" t="s">
        <v>50</v>
      </c>
      <c r="E11" s="331" t="s">
        <v>51</v>
      </c>
      <c r="F11" s="329" t="s">
        <v>39</v>
      </c>
      <c r="G11" s="319" t="s">
        <v>40</v>
      </c>
      <c r="H11" s="320" t="s">
        <v>26</v>
      </c>
      <c r="I11" s="320">
        <v>2023.6</v>
      </c>
      <c r="J11" s="320" t="s">
        <v>27</v>
      </c>
      <c r="K11" s="341"/>
      <c r="L11" s="320" t="s">
        <v>23</v>
      </c>
      <c r="M11" s="320"/>
    </row>
    <row r="12" ht="34.5" spans="1:13">
      <c r="A12" s="329"/>
      <c r="B12" s="332"/>
      <c r="C12" s="330" t="s">
        <v>52</v>
      </c>
      <c r="D12" s="330" t="s">
        <v>53</v>
      </c>
      <c r="E12" s="331" t="s">
        <v>54</v>
      </c>
      <c r="F12" s="329" t="s">
        <v>55</v>
      </c>
      <c r="G12" s="319" t="s">
        <v>19</v>
      </c>
      <c r="H12" s="320" t="s">
        <v>56</v>
      </c>
      <c r="I12" s="320">
        <v>2025.12</v>
      </c>
      <c r="J12" s="320" t="s">
        <v>57</v>
      </c>
      <c r="K12" s="339" t="s">
        <v>58</v>
      </c>
      <c r="L12" s="320" t="s">
        <v>23</v>
      </c>
      <c r="M12" s="320"/>
    </row>
    <row r="13" ht="34.5" spans="1:13">
      <c r="A13" s="329"/>
      <c r="B13" s="332"/>
      <c r="C13" s="330"/>
      <c r="D13" s="330" t="s">
        <v>59</v>
      </c>
      <c r="E13" s="331" t="s">
        <v>60</v>
      </c>
      <c r="F13" s="329" t="s">
        <v>55</v>
      </c>
      <c r="G13" s="319" t="s">
        <v>19</v>
      </c>
      <c r="H13" s="320" t="s">
        <v>56</v>
      </c>
      <c r="I13" s="320">
        <v>2025.12</v>
      </c>
      <c r="J13" s="320" t="s">
        <v>57</v>
      </c>
      <c r="K13" s="341"/>
      <c r="L13" s="320" t="s">
        <v>23</v>
      </c>
      <c r="M13" s="320"/>
    </row>
    <row r="14" ht="51.75" spans="1:13">
      <c r="A14" s="329"/>
      <c r="B14" s="332"/>
      <c r="C14" s="330" t="s">
        <v>61</v>
      </c>
      <c r="D14" s="333" t="s">
        <v>62</v>
      </c>
      <c r="E14" s="334" t="s">
        <v>63</v>
      </c>
      <c r="F14" s="329" t="s">
        <v>64</v>
      </c>
      <c r="G14" s="319" t="s">
        <v>65</v>
      </c>
      <c r="H14" s="320" t="s">
        <v>26</v>
      </c>
      <c r="I14" s="320">
        <v>2023.9</v>
      </c>
      <c r="J14" s="320" t="s">
        <v>27</v>
      </c>
      <c r="K14" s="339" t="s">
        <v>41</v>
      </c>
      <c r="L14" s="320" t="s">
        <v>23</v>
      </c>
      <c r="M14" s="320"/>
    </row>
    <row r="15" ht="51.75" spans="1:13">
      <c r="A15" s="329"/>
      <c r="B15" s="332"/>
      <c r="C15" s="330"/>
      <c r="D15" s="333" t="s">
        <v>66</v>
      </c>
      <c r="E15" s="334" t="s">
        <v>67</v>
      </c>
      <c r="F15" s="329" t="s">
        <v>64</v>
      </c>
      <c r="G15" s="319" t="s">
        <v>65</v>
      </c>
      <c r="H15" s="320" t="s">
        <v>26</v>
      </c>
      <c r="I15" s="320">
        <v>2023.9</v>
      </c>
      <c r="J15" s="320" t="s">
        <v>27</v>
      </c>
      <c r="K15" s="340"/>
      <c r="L15" s="320" t="s">
        <v>23</v>
      </c>
      <c r="M15" s="320"/>
    </row>
    <row r="16" ht="51.75" spans="1:13">
      <c r="A16" s="329"/>
      <c r="B16" s="332"/>
      <c r="C16" s="330"/>
      <c r="D16" s="330" t="s">
        <v>68</v>
      </c>
      <c r="E16" s="331" t="s">
        <v>69</v>
      </c>
      <c r="F16" s="329" t="s">
        <v>64</v>
      </c>
      <c r="G16" s="319" t="s">
        <v>65</v>
      </c>
      <c r="H16" s="320" t="s">
        <v>26</v>
      </c>
      <c r="I16" s="320">
        <v>2023.9</v>
      </c>
      <c r="J16" s="320" t="s">
        <v>27</v>
      </c>
      <c r="K16" s="340"/>
      <c r="L16" s="320" t="s">
        <v>23</v>
      </c>
      <c r="M16" s="320"/>
    </row>
    <row r="17" ht="51.75" spans="1:13">
      <c r="A17" s="329"/>
      <c r="B17" s="332"/>
      <c r="C17" s="330"/>
      <c r="D17" s="330" t="s">
        <v>70</v>
      </c>
      <c r="E17" s="331" t="s">
        <v>71</v>
      </c>
      <c r="F17" s="329" t="s">
        <v>64</v>
      </c>
      <c r="G17" s="319" t="s">
        <v>65</v>
      </c>
      <c r="H17" s="320" t="s">
        <v>26</v>
      </c>
      <c r="I17" s="320">
        <v>2023.9</v>
      </c>
      <c r="J17" s="320" t="s">
        <v>27</v>
      </c>
      <c r="K17" s="340"/>
      <c r="L17" s="320" t="s">
        <v>23</v>
      </c>
      <c r="M17" s="320"/>
    </row>
    <row r="18" ht="51.75" spans="1:13">
      <c r="A18" s="329"/>
      <c r="B18" s="332"/>
      <c r="C18" s="330"/>
      <c r="D18" s="330" t="s">
        <v>72</v>
      </c>
      <c r="E18" s="331" t="s">
        <v>73</v>
      </c>
      <c r="F18" s="329" t="s">
        <v>64</v>
      </c>
      <c r="G18" s="319" t="s">
        <v>65</v>
      </c>
      <c r="H18" s="320" t="s">
        <v>26</v>
      </c>
      <c r="I18" s="320">
        <v>2023.9</v>
      </c>
      <c r="J18" s="320" t="s">
        <v>27</v>
      </c>
      <c r="K18" s="340"/>
      <c r="L18" s="320" t="s">
        <v>23</v>
      </c>
      <c r="M18" s="320"/>
    </row>
    <row r="19" ht="51.75" spans="1:13">
      <c r="A19" s="329"/>
      <c r="B19" s="332"/>
      <c r="C19" s="330"/>
      <c r="D19" s="330" t="s">
        <v>74</v>
      </c>
      <c r="E19" s="331" t="s">
        <v>75</v>
      </c>
      <c r="F19" s="329" t="s">
        <v>64</v>
      </c>
      <c r="G19" s="319" t="s">
        <v>65</v>
      </c>
      <c r="H19" s="320" t="s">
        <v>26</v>
      </c>
      <c r="I19" s="320">
        <v>2023.9</v>
      </c>
      <c r="J19" s="320" t="s">
        <v>27</v>
      </c>
      <c r="K19" s="341"/>
      <c r="L19" s="320" t="s">
        <v>23</v>
      </c>
      <c r="M19" s="320"/>
    </row>
    <row r="20" ht="51.75" spans="1:13">
      <c r="A20" s="329"/>
      <c r="B20" s="332"/>
      <c r="C20" s="330" t="s">
        <v>76</v>
      </c>
      <c r="D20" s="330" t="s">
        <v>77</v>
      </c>
      <c r="E20" s="331" t="s">
        <v>78</v>
      </c>
      <c r="F20" s="329" t="s">
        <v>64</v>
      </c>
      <c r="G20" s="319" t="s">
        <v>65</v>
      </c>
      <c r="H20" s="320" t="s">
        <v>26</v>
      </c>
      <c r="I20" s="342">
        <v>2023.1</v>
      </c>
      <c r="J20" s="320" t="s">
        <v>27</v>
      </c>
      <c r="K20" s="339" t="s">
        <v>79</v>
      </c>
      <c r="L20" s="320" t="s">
        <v>23</v>
      </c>
      <c r="M20" s="320"/>
    </row>
    <row r="21" ht="51.75" spans="1:13">
      <c r="A21" s="329"/>
      <c r="B21" s="332"/>
      <c r="C21" s="330"/>
      <c r="D21" s="330" t="s">
        <v>80</v>
      </c>
      <c r="E21" s="331" t="s">
        <v>81</v>
      </c>
      <c r="F21" s="329" t="s">
        <v>64</v>
      </c>
      <c r="G21" s="319" t="s">
        <v>65</v>
      </c>
      <c r="H21" s="320" t="s">
        <v>26</v>
      </c>
      <c r="I21" s="342">
        <v>2023.1</v>
      </c>
      <c r="J21" s="320" t="s">
        <v>27</v>
      </c>
      <c r="K21" s="341"/>
      <c r="L21" s="320" t="s">
        <v>23</v>
      </c>
      <c r="M21" s="320"/>
    </row>
    <row r="22" ht="51.75" spans="1:13">
      <c r="A22" s="329"/>
      <c r="B22" s="332"/>
      <c r="C22" s="330" t="s">
        <v>82</v>
      </c>
      <c r="D22" s="330" t="s">
        <v>82</v>
      </c>
      <c r="E22" s="331" t="s">
        <v>83</v>
      </c>
      <c r="F22" s="329" t="s">
        <v>84</v>
      </c>
      <c r="G22" s="319" t="s">
        <v>65</v>
      </c>
      <c r="H22" s="320" t="s">
        <v>20</v>
      </c>
      <c r="I22" s="320">
        <v>2024.9</v>
      </c>
      <c r="J22" s="320" t="s">
        <v>21</v>
      </c>
      <c r="K22" s="325" t="s">
        <v>85</v>
      </c>
      <c r="L22" s="320" t="s">
        <v>23</v>
      </c>
      <c r="M22" s="320"/>
    </row>
    <row r="23" ht="51.75" spans="1:13">
      <c r="A23" s="329"/>
      <c r="B23" s="332"/>
      <c r="C23" s="330" t="s">
        <v>86</v>
      </c>
      <c r="D23" s="330" t="s">
        <v>87</v>
      </c>
      <c r="E23" s="331" t="s">
        <v>88</v>
      </c>
      <c r="F23" s="329" t="s">
        <v>89</v>
      </c>
      <c r="G23" s="319" t="s">
        <v>65</v>
      </c>
      <c r="H23" s="320" t="s">
        <v>20</v>
      </c>
      <c r="I23" s="320">
        <v>2024.12</v>
      </c>
      <c r="J23" s="320" t="s">
        <v>21</v>
      </c>
      <c r="K23" s="325" t="s">
        <v>58</v>
      </c>
      <c r="L23" s="320" t="s">
        <v>23</v>
      </c>
      <c r="M23" s="320"/>
    </row>
    <row r="24" ht="51.75" spans="1:13">
      <c r="A24" s="329"/>
      <c r="B24" s="332"/>
      <c r="C24" s="330"/>
      <c r="D24" s="330" t="s">
        <v>90</v>
      </c>
      <c r="E24" s="331" t="s">
        <v>91</v>
      </c>
      <c r="F24" s="329" t="s">
        <v>89</v>
      </c>
      <c r="G24" s="319" t="s">
        <v>65</v>
      </c>
      <c r="H24" s="320" t="s">
        <v>20</v>
      </c>
      <c r="I24" s="320">
        <v>2024.12</v>
      </c>
      <c r="J24" s="320" t="s">
        <v>21</v>
      </c>
      <c r="K24" s="325"/>
      <c r="L24" s="320" t="s">
        <v>23</v>
      </c>
      <c r="M24" s="320"/>
    </row>
    <row r="25" ht="51.75" spans="1:13">
      <c r="A25" s="329"/>
      <c r="B25" s="332"/>
      <c r="C25" s="330"/>
      <c r="D25" s="330" t="s">
        <v>92</v>
      </c>
      <c r="E25" s="331" t="s">
        <v>93</v>
      </c>
      <c r="F25" s="329" t="s">
        <v>89</v>
      </c>
      <c r="G25" s="319" t="s">
        <v>65</v>
      </c>
      <c r="H25" s="320" t="s">
        <v>56</v>
      </c>
      <c r="I25" s="320" t="s">
        <v>94</v>
      </c>
      <c r="J25" s="320" t="s">
        <v>57</v>
      </c>
      <c r="K25" s="325" t="s">
        <v>79</v>
      </c>
      <c r="L25" s="320" t="s">
        <v>23</v>
      </c>
      <c r="M25" s="320"/>
    </row>
    <row r="26" ht="34.5" spans="1:13">
      <c r="A26" s="329"/>
      <c r="B26" s="332"/>
      <c r="C26" s="330" t="s">
        <v>95</v>
      </c>
      <c r="D26" s="330" t="s">
        <v>95</v>
      </c>
      <c r="E26" s="331" t="s">
        <v>96</v>
      </c>
      <c r="F26" s="329" t="s">
        <v>18</v>
      </c>
      <c r="G26" s="319" t="s">
        <v>97</v>
      </c>
      <c r="H26" s="320" t="s">
        <v>56</v>
      </c>
      <c r="I26" s="320" t="s">
        <v>94</v>
      </c>
      <c r="J26" s="320" t="s">
        <v>57</v>
      </c>
      <c r="K26" s="325" t="s">
        <v>98</v>
      </c>
      <c r="L26" s="320" t="s">
        <v>23</v>
      </c>
      <c r="M26" s="320"/>
    </row>
    <row r="27" ht="51.75" spans="1:13">
      <c r="A27" s="329"/>
      <c r="B27" s="332"/>
      <c r="C27" s="330" t="s">
        <v>99</v>
      </c>
      <c r="D27" s="330" t="s">
        <v>100</v>
      </c>
      <c r="E27" s="331" t="s">
        <v>101</v>
      </c>
      <c r="F27" s="329" t="s">
        <v>64</v>
      </c>
      <c r="G27" s="319" t="s">
        <v>65</v>
      </c>
      <c r="H27" s="320" t="s">
        <v>20</v>
      </c>
      <c r="I27" s="320">
        <v>2024.9</v>
      </c>
      <c r="J27" s="320" t="s">
        <v>21</v>
      </c>
      <c r="K27" s="339" t="s">
        <v>58</v>
      </c>
      <c r="L27" s="320" t="s">
        <v>23</v>
      </c>
      <c r="M27" s="320"/>
    </row>
    <row r="28" ht="51.75" spans="1:13">
      <c r="A28" s="329"/>
      <c r="B28" s="332"/>
      <c r="C28" s="330"/>
      <c r="D28" s="330" t="s">
        <v>102</v>
      </c>
      <c r="E28" s="331" t="s">
        <v>103</v>
      </c>
      <c r="F28" s="329" t="s">
        <v>64</v>
      </c>
      <c r="G28" s="319" t="s">
        <v>65</v>
      </c>
      <c r="H28" s="320" t="s">
        <v>20</v>
      </c>
      <c r="I28" s="320">
        <v>2024.9</v>
      </c>
      <c r="J28" s="320" t="s">
        <v>21</v>
      </c>
      <c r="K28" s="340"/>
      <c r="L28" s="320" t="s">
        <v>23</v>
      </c>
      <c r="M28" s="320"/>
    </row>
    <row r="29" ht="51.75" spans="1:13">
      <c r="A29" s="329"/>
      <c r="B29" s="332"/>
      <c r="C29" s="330"/>
      <c r="D29" s="330" t="s">
        <v>104</v>
      </c>
      <c r="E29" s="331" t="s">
        <v>105</v>
      </c>
      <c r="F29" s="329" t="s">
        <v>64</v>
      </c>
      <c r="G29" s="319" t="s">
        <v>65</v>
      </c>
      <c r="H29" s="320" t="s">
        <v>20</v>
      </c>
      <c r="I29" s="320">
        <v>2024.9</v>
      </c>
      <c r="J29" s="320" t="s">
        <v>21</v>
      </c>
      <c r="K29" s="340"/>
      <c r="L29" s="320" t="s">
        <v>23</v>
      </c>
      <c r="M29" s="320"/>
    </row>
    <row r="30" ht="51.75" spans="1:13">
      <c r="A30" s="329"/>
      <c r="B30" s="332"/>
      <c r="C30" s="330"/>
      <c r="D30" s="330" t="s">
        <v>106</v>
      </c>
      <c r="E30" s="331" t="s">
        <v>107</v>
      </c>
      <c r="F30" s="329" t="s">
        <v>64</v>
      </c>
      <c r="G30" s="319" t="s">
        <v>65</v>
      </c>
      <c r="H30" s="320" t="s">
        <v>20</v>
      </c>
      <c r="I30" s="320">
        <v>2024.9</v>
      </c>
      <c r="J30" s="320" t="s">
        <v>21</v>
      </c>
      <c r="K30" s="341"/>
      <c r="L30" s="320" t="s">
        <v>23</v>
      </c>
      <c r="M30" s="320"/>
    </row>
    <row r="31" ht="51.75" spans="1:13">
      <c r="A31" s="329"/>
      <c r="B31" s="332"/>
      <c r="C31" s="330" t="s">
        <v>108</v>
      </c>
      <c r="D31" s="330" t="s">
        <v>109</v>
      </c>
      <c r="E31" s="331" t="s">
        <v>110</v>
      </c>
      <c r="F31" s="329" t="s">
        <v>111</v>
      </c>
      <c r="G31" s="319" t="s">
        <v>65</v>
      </c>
      <c r="H31" s="320" t="s">
        <v>56</v>
      </c>
      <c r="I31" s="320" t="s">
        <v>94</v>
      </c>
      <c r="J31" s="320" t="s">
        <v>57</v>
      </c>
      <c r="K31" s="325" t="s">
        <v>58</v>
      </c>
      <c r="L31" s="320" t="s">
        <v>23</v>
      </c>
      <c r="M31" s="320"/>
    </row>
    <row r="32" ht="34.5" spans="1:13">
      <c r="A32" s="329"/>
      <c r="B32" s="333" t="s">
        <v>112</v>
      </c>
      <c r="C32" s="330" t="s">
        <v>113</v>
      </c>
      <c r="D32" s="330" t="s">
        <v>114</v>
      </c>
      <c r="E32" s="331" t="s">
        <v>115</v>
      </c>
      <c r="F32" s="329" t="s">
        <v>18</v>
      </c>
      <c r="G32" s="319" t="s">
        <v>19</v>
      </c>
      <c r="H32" s="320" t="s">
        <v>26</v>
      </c>
      <c r="I32" s="320">
        <v>2023.12</v>
      </c>
      <c r="J32" s="320" t="s">
        <v>27</v>
      </c>
      <c r="K32" s="339" t="s">
        <v>85</v>
      </c>
      <c r="L32" s="320" t="s">
        <v>23</v>
      </c>
      <c r="M32" s="320"/>
    </row>
    <row r="33" ht="17.25" spans="1:13">
      <c r="A33" s="329"/>
      <c r="B33" s="335"/>
      <c r="C33" s="330"/>
      <c r="D33" s="330" t="s">
        <v>116</v>
      </c>
      <c r="E33" s="331" t="s">
        <v>117</v>
      </c>
      <c r="F33" s="329" t="s">
        <v>18</v>
      </c>
      <c r="G33" s="319" t="s">
        <v>19</v>
      </c>
      <c r="H33" s="320" t="s">
        <v>26</v>
      </c>
      <c r="I33" s="342">
        <v>2023.1</v>
      </c>
      <c r="J33" s="320" t="s">
        <v>27</v>
      </c>
      <c r="K33" s="340"/>
      <c r="L33" s="320" t="s">
        <v>23</v>
      </c>
      <c r="M33" s="320"/>
    </row>
    <row r="34" ht="17.25" spans="1:13">
      <c r="A34" s="329"/>
      <c r="B34" s="335"/>
      <c r="C34" s="330"/>
      <c r="D34" s="330" t="s">
        <v>118</v>
      </c>
      <c r="E34" s="331" t="s">
        <v>119</v>
      </c>
      <c r="F34" s="329" t="s">
        <v>18</v>
      </c>
      <c r="G34" s="319" t="s">
        <v>19</v>
      </c>
      <c r="H34" s="320" t="s">
        <v>26</v>
      </c>
      <c r="I34" s="320">
        <v>2023.12</v>
      </c>
      <c r="J34" s="320" t="s">
        <v>27</v>
      </c>
      <c r="K34" s="340"/>
      <c r="L34" s="320" t="s">
        <v>23</v>
      </c>
      <c r="M34" s="320"/>
    </row>
    <row r="35" ht="17.25" spans="1:13">
      <c r="A35" s="329"/>
      <c r="B35" s="335"/>
      <c r="C35" s="330"/>
      <c r="D35" s="330" t="s">
        <v>120</v>
      </c>
      <c r="E35" s="331" t="s">
        <v>121</v>
      </c>
      <c r="F35" s="329" t="s">
        <v>18</v>
      </c>
      <c r="G35" s="319" t="s">
        <v>19</v>
      </c>
      <c r="H35" s="320" t="s">
        <v>26</v>
      </c>
      <c r="I35" s="320">
        <v>2023.12</v>
      </c>
      <c r="J35" s="320" t="s">
        <v>27</v>
      </c>
      <c r="K35" s="341"/>
      <c r="L35" s="320" t="s">
        <v>23</v>
      </c>
      <c r="M35" s="320"/>
    </row>
    <row r="36" ht="17.25" spans="1:13">
      <c r="A36" s="329"/>
      <c r="B36" s="335"/>
      <c r="C36" s="330"/>
      <c r="D36" s="330" t="s">
        <v>122</v>
      </c>
      <c r="E36" s="331" t="s">
        <v>123</v>
      </c>
      <c r="F36" s="329" t="s">
        <v>18</v>
      </c>
      <c r="G36" s="319" t="s">
        <v>19</v>
      </c>
      <c r="H36" s="320" t="s">
        <v>20</v>
      </c>
      <c r="I36" s="320">
        <v>2024.12</v>
      </c>
      <c r="J36" s="320" t="s">
        <v>21</v>
      </c>
      <c r="K36" s="339" t="s">
        <v>98</v>
      </c>
      <c r="L36" s="320" t="s">
        <v>23</v>
      </c>
      <c r="M36" s="320"/>
    </row>
    <row r="37" ht="17.25" spans="1:13">
      <c r="A37" s="329"/>
      <c r="B37" s="335"/>
      <c r="C37" s="330"/>
      <c r="D37" s="330" t="s">
        <v>124</v>
      </c>
      <c r="E37" s="331" t="s">
        <v>125</v>
      </c>
      <c r="F37" s="329" t="s">
        <v>18</v>
      </c>
      <c r="G37" s="319" t="s">
        <v>19</v>
      </c>
      <c r="H37" s="320" t="s">
        <v>20</v>
      </c>
      <c r="I37" s="320">
        <v>2024.12</v>
      </c>
      <c r="J37" s="320" t="s">
        <v>21</v>
      </c>
      <c r="K37" s="340"/>
      <c r="L37" s="320" t="s">
        <v>23</v>
      </c>
      <c r="M37" s="320"/>
    </row>
    <row r="38" ht="17.25" spans="1:13">
      <c r="A38" s="329"/>
      <c r="B38" s="335"/>
      <c r="C38" s="330"/>
      <c r="D38" s="330" t="s">
        <v>126</v>
      </c>
      <c r="E38" s="331" t="s">
        <v>127</v>
      </c>
      <c r="F38" s="329" t="s">
        <v>18</v>
      </c>
      <c r="G38" s="319" t="s">
        <v>19</v>
      </c>
      <c r="H38" s="320" t="s">
        <v>20</v>
      </c>
      <c r="I38" s="320">
        <v>2024.12</v>
      </c>
      <c r="J38" s="320" t="s">
        <v>21</v>
      </c>
      <c r="K38" s="340"/>
      <c r="L38" s="320" t="s">
        <v>23</v>
      </c>
      <c r="M38" s="320"/>
    </row>
    <row r="39" ht="17.25" spans="1:13">
      <c r="A39" s="329"/>
      <c r="B39" s="335"/>
      <c r="C39" s="330"/>
      <c r="D39" s="330" t="s">
        <v>128</v>
      </c>
      <c r="E39" s="331" t="s">
        <v>129</v>
      </c>
      <c r="F39" s="329" t="s">
        <v>18</v>
      </c>
      <c r="G39" s="319" t="s">
        <v>19</v>
      </c>
      <c r="H39" s="320" t="s">
        <v>20</v>
      </c>
      <c r="I39" s="320">
        <v>2024.12</v>
      </c>
      <c r="J39" s="320" t="s">
        <v>21</v>
      </c>
      <c r="K39" s="340"/>
      <c r="L39" s="320" t="s">
        <v>23</v>
      </c>
      <c r="M39" s="320"/>
    </row>
    <row r="40" ht="17.25" spans="1:13">
      <c r="A40" s="329"/>
      <c r="B40" s="335"/>
      <c r="C40" s="330"/>
      <c r="D40" s="330" t="s">
        <v>130</v>
      </c>
      <c r="E40" s="331" t="s">
        <v>131</v>
      </c>
      <c r="F40" s="329" t="s">
        <v>18</v>
      </c>
      <c r="G40" s="319" t="s">
        <v>19</v>
      </c>
      <c r="H40" s="320" t="s">
        <v>20</v>
      </c>
      <c r="I40" s="320">
        <v>2024.12</v>
      </c>
      <c r="J40" s="320" t="s">
        <v>21</v>
      </c>
      <c r="K40" s="341"/>
      <c r="L40" s="320" t="s">
        <v>23</v>
      </c>
      <c r="M40" s="320"/>
    </row>
    <row r="41" ht="17.25" spans="1:13">
      <c r="A41" s="329"/>
      <c r="B41" s="335"/>
      <c r="C41" s="330"/>
      <c r="D41" s="330" t="s">
        <v>132</v>
      </c>
      <c r="E41" s="331" t="s">
        <v>133</v>
      </c>
      <c r="F41" s="329" t="s">
        <v>18</v>
      </c>
      <c r="G41" s="319" t="s">
        <v>19</v>
      </c>
      <c r="H41" s="320" t="s">
        <v>20</v>
      </c>
      <c r="I41" s="320">
        <v>2024.12</v>
      </c>
      <c r="J41" s="320" t="s">
        <v>21</v>
      </c>
      <c r="K41" s="339" t="s">
        <v>98</v>
      </c>
      <c r="L41" s="320" t="s">
        <v>23</v>
      </c>
      <c r="M41" s="320"/>
    </row>
    <row r="42" ht="17.25" spans="1:13">
      <c r="A42" s="329"/>
      <c r="B42" s="335"/>
      <c r="C42" s="330"/>
      <c r="D42" s="330" t="s">
        <v>134</v>
      </c>
      <c r="E42" s="331" t="s">
        <v>135</v>
      </c>
      <c r="F42" s="329" t="s">
        <v>18</v>
      </c>
      <c r="G42" s="319" t="s">
        <v>19</v>
      </c>
      <c r="H42" s="320" t="s">
        <v>20</v>
      </c>
      <c r="I42" s="320">
        <v>2024.12</v>
      </c>
      <c r="J42" s="320" t="s">
        <v>21</v>
      </c>
      <c r="K42" s="340"/>
      <c r="L42" s="320" t="s">
        <v>23</v>
      </c>
      <c r="M42" s="320"/>
    </row>
    <row r="43" ht="17.25" spans="1:13">
      <c r="A43" s="329"/>
      <c r="B43" s="335"/>
      <c r="C43" s="330"/>
      <c r="D43" s="330" t="s">
        <v>136</v>
      </c>
      <c r="E43" s="331" t="s">
        <v>137</v>
      </c>
      <c r="F43" s="329" t="s">
        <v>18</v>
      </c>
      <c r="G43" s="319" t="s">
        <v>19</v>
      </c>
      <c r="H43" s="320" t="s">
        <v>20</v>
      </c>
      <c r="I43" s="320">
        <v>2024.12</v>
      </c>
      <c r="J43" s="320" t="s">
        <v>21</v>
      </c>
      <c r="K43" s="340"/>
      <c r="L43" s="320" t="s">
        <v>23</v>
      </c>
      <c r="M43" s="320"/>
    </row>
    <row r="44" ht="17.25" spans="1:13">
      <c r="A44" s="329"/>
      <c r="B44" s="335"/>
      <c r="C44" s="330"/>
      <c r="D44" s="330" t="s">
        <v>138</v>
      </c>
      <c r="E44" s="331" t="s">
        <v>139</v>
      </c>
      <c r="F44" s="329" t="s">
        <v>18</v>
      </c>
      <c r="G44" s="319" t="s">
        <v>19</v>
      </c>
      <c r="H44" s="320" t="s">
        <v>20</v>
      </c>
      <c r="I44" s="320">
        <v>2024.12</v>
      </c>
      <c r="J44" s="320" t="s">
        <v>21</v>
      </c>
      <c r="K44" s="341"/>
      <c r="L44" s="320" t="s">
        <v>23</v>
      </c>
      <c r="M44" s="320"/>
    </row>
    <row r="45" ht="17.25" spans="1:13">
      <c r="A45" s="329"/>
      <c r="B45" s="335"/>
      <c r="C45" s="333" t="s">
        <v>140</v>
      </c>
      <c r="D45" s="330" t="s">
        <v>114</v>
      </c>
      <c r="E45" s="331" t="s">
        <v>141</v>
      </c>
      <c r="F45" s="329" t="s">
        <v>18</v>
      </c>
      <c r="G45" s="319" t="s">
        <v>19</v>
      </c>
      <c r="H45" s="320" t="s">
        <v>26</v>
      </c>
      <c r="I45" s="320">
        <v>2023.12</v>
      </c>
      <c r="J45" s="320" t="s">
        <v>27</v>
      </c>
      <c r="K45" s="325" t="s">
        <v>142</v>
      </c>
      <c r="L45" s="320" t="s">
        <v>23</v>
      </c>
      <c r="M45" s="320"/>
    </row>
    <row r="46" ht="17.25" spans="1:13">
      <c r="A46" s="329"/>
      <c r="B46" s="335"/>
      <c r="C46" s="335"/>
      <c r="D46" s="330" t="s">
        <v>143</v>
      </c>
      <c r="E46" s="331" t="s">
        <v>144</v>
      </c>
      <c r="F46" s="329" t="s">
        <v>18</v>
      </c>
      <c r="G46" s="319" t="s">
        <v>19</v>
      </c>
      <c r="H46" s="320" t="s">
        <v>20</v>
      </c>
      <c r="I46" s="320">
        <v>2024.12</v>
      </c>
      <c r="J46" s="320" t="s">
        <v>21</v>
      </c>
      <c r="K46" s="339" t="s">
        <v>85</v>
      </c>
      <c r="L46" s="320" t="s">
        <v>23</v>
      </c>
      <c r="M46" s="343"/>
    </row>
    <row r="47" ht="17.25" spans="1:13">
      <c r="A47" s="329"/>
      <c r="B47" s="335"/>
      <c r="C47" s="335"/>
      <c r="D47" s="330" t="s">
        <v>124</v>
      </c>
      <c r="E47" s="331" t="s">
        <v>145</v>
      </c>
      <c r="F47" s="329" t="s">
        <v>18</v>
      </c>
      <c r="G47" s="319" t="s">
        <v>19</v>
      </c>
      <c r="H47" s="320" t="s">
        <v>20</v>
      </c>
      <c r="I47" s="320">
        <v>2024.12</v>
      </c>
      <c r="J47" s="320" t="s">
        <v>21</v>
      </c>
      <c r="K47" s="340"/>
      <c r="L47" s="320" t="s">
        <v>23</v>
      </c>
      <c r="M47" s="320"/>
    </row>
    <row r="48" ht="32" customHeight="1" spans="1:13">
      <c r="A48" s="329"/>
      <c r="B48" s="335"/>
      <c r="C48" s="335"/>
      <c r="D48" s="330" t="s">
        <v>126</v>
      </c>
      <c r="E48" s="331" t="s">
        <v>146</v>
      </c>
      <c r="F48" s="329" t="s">
        <v>18</v>
      </c>
      <c r="G48" s="319" t="s">
        <v>19</v>
      </c>
      <c r="H48" s="320" t="s">
        <v>56</v>
      </c>
      <c r="I48" s="320">
        <v>2025.12</v>
      </c>
      <c r="J48" s="320" t="s">
        <v>57</v>
      </c>
      <c r="K48" s="341"/>
      <c r="L48" s="320" t="s">
        <v>23</v>
      </c>
      <c r="M48" s="320"/>
    </row>
    <row r="49" ht="17.25" spans="1:13">
      <c r="A49" s="329"/>
      <c r="B49" s="335"/>
      <c r="C49" s="335"/>
      <c r="D49" s="330" t="s">
        <v>116</v>
      </c>
      <c r="E49" s="331" t="s">
        <v>147</v>
      </c>
      <c r="F49" s="329" t="s">
        <v>18</v>
      </c>
      <c r="G49" s="319" t="s">
        <v>19</v>
      </c>
      <c r="H49" s="320" t="s">
        <v>56</v>
      </c>
      <c r="I49" s="320">
        <v>2025.12</v>
      </c>
      <c r="J49" s="320" t="s">
        <v>57</v>
      </c>
      <c r="K49" s="340" t="s">
        <v>148</v>
      </c>
      <c r="L49" s="320" t="s">
        <v>23</v>
      </c>
      <c r="M49" s="320"/>
    </row>
    <row r="50" ht="17.25" spans="1:13">
      <c r="A50" s="329"/>
      <c r="B50" s="335"/>
      <c r="C50" s="335"/>
      <c r="D50" s="330" t="s">
        <v>118</v>
      </c>
      <c r="E50" s="331" t="s">
        <v>149</v>
      </c>
      <c r="F50" s="329" t="s">
        <v>18</v>
      </c>
      <c r="G50" s="319" t="s">
        <v>19</v>
      </c>
      <c r="H50" s="320" t="s">
        <v>56</v>
      </c>
      <c r="I50" s="320">
        <v>2025.12</v>
      </c>
      <c r="J50" s="320" t="s">
        <v>57</v>
      </c>
      <c r="K50" s="341"/>
      <c r="L50" s="320" t="s">
        <v>23</v>
      </c>
      <c r="M50" s="320"/>
    </row>
    <row r="51" ht="34.5" spans="1:13">
      <c r="A51" s="329"/>
      <c r="B51" s="336"/>
      <c r="C51" s="336"/>
      <c r="D51" s="336" t="s">
        <v>150</v>
      </c>
      <c r="E51" s="331" t="s">
        <v>151</v>
      </c>
      <c r="F51" s="329" t="s">
        <v>152</v>
      </c>
      <c r="G51" s="319" t="s">
        <v>19</v>
      </c>
      <c r="H51" s="320" t="s">
        <v>56</v>
      </c>
      <c r="I51" s="320">
        <v>2025.12</v>
      </c>
      <c r="J51" s="320" t="s">
        <v>57</v>
      </c>
      <c r="K51" s="339" t="s">
        <v>148</v>
      </c>
      <c r="L51" s="320" t="s">
        <v>23</v>
      </c>
      <c r="M51" s="320"/>
    </row>
    <row r="52" ht="17.25" spans="1:13">
      <c r="A52" s="329"/>
      <c r="B52" s="330" t="s">
        <v>153</v>
      </c>
      <c r="C52" s="330" t="s">
        <v>154</v>
      </c>
      <c r="D52" s="336" t="s">
        <v>155</v>
      </c>
      <c r="E52" s="331" t="s">
        <v>156</v>
      </c>
      <c r="F52" s="329" t="s">
        <v>18</v>
      </c>
      <c r="G52" s="319" t="s">
        <v>157</v>
      </c>
      <c r="H52" s="320" t="s">
        <v>26</v>
      </c>
      <c r="I52" s="320">
        <v>2023.12</v>
      </c>
      <c r="J52" s="320" t="s">
        <v>27</v>
      </c>
      <c r="K52" s="339" t="s">
        <v>158</v>
      </c>
      <c r="L52" s="320" t="s">
        <v>23</v>
      </c>
      <c r="M52" s="320"/>
    </row>
    <row r="53" ht="17.25" spans="1:13">
      <c r="A53" s="329"/>
      <c r="B53" s="330"/>
      <c r="C53" s="330"/>
      <c r="D53" s="336" t="s">
        <v>159</v>
      </c>
      <c r="E53" s="331" t="s">
        <v>160</v>
      </c>
      <c r="F53" s="329" t="s">
        <v>18</v>
      </c>
      <c r="G53" s="319" t="s">
        <v>157</v>
      </c>
      <c r="H53" s="320" t="s">
        <v>26</v>
      </c>
      <c r="I53" s="320">
        <v>2023.12</v>
      </c>
      <c r="J53" s="320" t="s">
        <v>27</v>
      </c>
      <c r="K53" s="340"/>
      <c r="L53" s="320" t="s">
        <v>23</v>
      </c>
      <c r="M53" s="320"/>
    </row>
    <row r="54" ht="17.25" spans="1:13">
      <c r="A54" s="329"/>
      <c r="B54" s="330"/>
      <c r="C54" s="330"/>
      <c r="D54" s="336" t="s">
        <v>161</v>
      </c>
      <c r="E54" s="331" t="s">
        <v>162</v>
      </c>
      <c r="F54" s="329" t="s">
        <v>18</v>
      </c>
      <c r="G54" s="319" t="s">
        <v>157</v>
      </c>
      <c r="H54" s="320" t="s">
        <v>26</v>
      </c>
      <c r="I54" s="320">
        <v>2023.12</v>
      </c>
      <c r="J54" s="320" t="s">
        <v>27</v>
      </c>
      <c r="K54" s="340"/>
      <c r="L54" s="320" t="s">
        <v>23</v>
      </c>
      <c r="M54" s="320"/>
    </row>
    <row r="55" ht="17.25" spans="1:13">
      <c r="A55" s="329"/>
      <c r="B55" s="330"/>
      <c r="C55" s="330"/>
      <c r="D55" s="336" t="s">
        <v>163</v>
      </c>
      <c r="E55" s="331" t="s">
        <v>164</v>
      </c>
      <c r="F55" s="329" t="s">
        <v>18</v>
      </c>
      <c r="G55" s="319" t="s">
        <v>157</v>
      </c>
      <c r="H55" s="320" t="s">
        <v>26</v>
      </c>
      <c r="I55" s="320">
        <v>2023.12</v>
      </c>
      <c r="J55" s="320" t="s">
        <v>27</v>
      </c>
      <c r="K55" s="340"/>
      <c r="L55" s="320" t="s">
        <v>23</v>
      </c>
      <c r="M55" s="320"/>
    </row>
    <row r="56" ht="17.25" spans="1:13">
      <c r="A56" s="329"/>
      <c r="B56" s="330"/>
      <c r="C56" s="330"/>
      <c r="D56" s="330" t="s">
        <v>165</v>
      </c>
      <c r="E56" s="331" t="s">
        <v>166</v>
      </c>
      <c r="F56" s="329" t="s">
        <v>18</v>
      </c>
      <c r="G56" s="319" t="s">
        <v>157</v>
      </c>
      <c r="H56" s="320" t="s">
        <v>26</v>
      </c>
      <c r="I56" s="320">
        <v>2023.12</v>
      </c>
      <c r="J56" s="320" t="s">
        <v>27</v>
      </c>
      <c r="K56" s="341"/>
      <c r="L56" s="320" t="s">
        <v>23</v>
      </c>
      <c r="M56" s="320"/>
    </row>
    <row r="57" ht="17.25" spans="1:13">
      <c r="A57" s="322"/>
      <c r="B57" s="322"/>
      <c r="C57" s="337"/>
      <c r="D57" s="337"/>
      <c r="E57" s="338"/>
      <c r="F57" s="322"/>
      <c r="G57" s="322"/>
      <c r="H57" s="322"/>
      <c r="I57" s="322"/>
      <c r="J57" s="322"/>
      <c r="K57" s="322"/>
      <c r="L57" s="322"/>
      <c r="M57" s="322"/>
    </row>
    <row r="58" ht="17.25" spans="1:13">
      <c r="A58" s="322"/>
      <c r="B58" s="322"/>
      <c r="C58" s="337"/>
      <c r="D58" s="337"/>
      <c r="E58" s="338"/>
      <c r="F58" s="322"/>
      <c r="G58" s="322"/>
      <c r="H58" s="322"/>
      <c r="I58" s="322"/>
      <c r="J58" s="322"/>
      <c r="K58" s="322"/>
      <c r="L58" s="322"/>
      <c r="M58" s="322"/>
    </row>
    <row r="59" ht="17.25" spans="1:13">
      <c r="A59" s="322"/>
      <c r="B59" s="322"/>
      <c r="C59" s="337"/>
      <c r="D59" s="337"/>
      <c r="E59" s="338"/>
      <c r="F59" s="322"/>
      <c r="G59" s="322"/>
      <c r="H59" s="322"/>
      <c r="I59" s="322"/>
      <c r="J59" s="322"/>
      <c r="K59" s="322"/>
      <c r="L59" s="322"/>
      <c r="M59" s="322"/>
    </row>
    <row r="60" ht="17.25" spans="1:13">
      <c r="A60" s="322"/>
      <c r="B60" s="322"/>
      <c r="C60" s="337"/>
      <c r="D60" s="337"/>
      <c r="E60" s="338"/>
      <c r="F60" s="322"/>
      <c r="G60" s="322"/>
      <c r="H60" s="320" t="s">
        <v>26</v>
      </c>
      <c r="I60" s="322"/>
      <c r="J60" s="322"/>
      <c r="K60" s="322" t="s">
        <v>167</v>
      </c>
      <c r="L60" s="322" t="s">
        <v>168</v>
      </c>
      <c r="M60" s="322"/>
    </row>
    <row r="61" ht="17.25" spans="1:13">
      <c r="A61" s="322"/>
      <c r="B61" s="322"/>
      <c r="C61" s="337"/>
      <c r="D61" s="337"/>
      <c r="E61" s="338"/>
      <c r="F61" s="322"/>
      <c r="G61" s="322"/>
      <c r="H61" s="320" t="s">
        <v>20</v>
      </c>
      <c r="I61" s="322"/>
      <c r="J61" s="322"/>
      <c r="K61" s="322" t="s">
        <v>169</v>
      </c>
      <c r="L61" s="322" t="s">
        <v>170</v>
      </c>
      <c r="M61" s="322"/>
    </row>
    <row r="62" ht="17.25" spans="1:13">
      <c r="A62" s="322"/>
      <c r="B62" s="322"/>
      <c r="C62" s="337"/>
      <c r="D62" s="337"/>
      <c r="E62" s="338"/>
      <c r="F62" s="322"/>
      <c r="G62" s="322"/>
      <c r="H62" s="320" t="s">
        <v>56</v>
      </c>
      <c r="I62" s="322"/>
      <c r="J62" s="322"/>
      <c r="K62" s="322" t="s">
        <v>171</v>
      </c>
      <c r="L62" s="322" t="s">
        <v>172</v>
      </c>
      <c r="M62" s="322"/>
    </row>
    <row r="63" ht="17.25" spans="1:13">
      <c r="A63" s="322"/>
      <c r="B63" s="322"/>
      <c r="C63" s="337"/>
      <c r="D63" s="337"/>
      <c r="E63" s="338"/>
      <c r="F63" s="322"/>
      <c r="G63" s="322"/>
      <c r="H63" s="322"/>
      <c r="I63" s="322"/>
      <c r="J63" s="322"/>
      <c r="K63" s="322"/>
      <c r="L63" s="322"/>
      <c r="M63" s="322"/>
    </row>
    <row r="64" ht="17.25" spans="1:13">
      <c r="A64" s="322"/>
      <c r="B64" s="322"/>
      <c r="C64" s="337"/>
      <c r="D64" s="337"/>
      <c r="E64" s="338"/>
      <c r="F64" s="322"/>
      <c r="G64" s="322"/>
      <c r="H64" s="322"/>
      <c r="I64" s="322"/>
      <c r="J64" s="322"/>
      <c r="K64" s="322"/>
      <c r="L64" s="322"/>
      <c r="M64" s="322"/>
    </row>
    <row r="65" ht="17.25" spans="1:13">
      <c r="A65" s="322"/>
      <c r="B65" s="322"/>
      <c r="C65" s="337"/>
      <c r="D65" s="337"/>
      <c r="E65" s="338"/>
      <c r="F65" s="322"/>
      <c r="G65" s="322"/>
      <c r="H65" s="322"/>
      <c r="I65" s="322"/>
      <c r="J65" s="322"/>
      <c r="K65" s="322"/>
      <c r="L65" s="322"/>
      <c r="M65" s="322"/>
    </row>
    <row r="66" ht="17.25" spans="1:13">
      <c r="A66" s="322"/>
      <c r="B66" s="322"/>
      <c r="C66" s="337"/>
      <c r="D66" s="337"/>
      <c r="E66" s="338"/>
      <c r="F66" s="322"/>
      <c r="G66" s="322"/>
      <c r="H66" s="322"/>
      <c r="I66" s="322"/>
      <c r="J66" s="322"/>
      <c r="K66" s="322"/>
      <c r="L66" s="322"/>
      <c r="M66" s="322"/>
    </row>
    <row r="67" ht="17.25" spans="1:13">
      <c r="A67" s="322"/>
      <c r="B67" s="322"/>
      <c r="C67" s="337"/>
      <c r="D67" s="337"/>
      <c r="E67" s="338"/>
      <c r="F67" s="322"/>
      <c r="G67" s="322"/>
      <c r="H67" s="322"/>
      <c r="I67" s="322"/>
      <c r="J67" s="322"/>
      <c r="K67" s="322"/>
      <c r="L67" s="322"/>
      <c r="M67" s="322"/>
    </row>
    <row r="68" ht="17.25" spans="1:13">
      <c r="A68" s="322"/>
      <c r="B68" s="322"/>
      <c r="C68" s="337"/>
      <c r="D68" s="337"/>
      <c r="E68" s="338"/>
      <c r="F68" s="322"/>
      <c r="G68" s="322"/>
      <c r="H68" s="322"/>
      <c r="I68" s="322"/>
      <c r="J68" s="322"/>
      <c r="K68" s="322"/>
      <c r="L68" s="322"/>
      <c r="M68" s="322"/>
    </row>
    <row r="69" ht="17.25" spans="1:13">
      <c r="A69" s="322"/>
      <c r="B69" s="322"/>
      <c r="C69" s="337"/>
      <c r="D69" s="337"/>
      <c r="E69" s="338"/>
      <c r="F69" s="322"/>
      <c r="G69" s="322"/>
      <c r="H69" s="322"/>
      <c r="I69" s="322"/>
      <c r="J69" s="322"/>
      <c r="K69" s="322"/>
      <c r="L69" s="322"/>
      <c r="M69" s="322"/>
    </row>
    <row r="70" ht="17.25" spans="1:13">
      <c r="A70" s="322"/>
      <c r="B70" s="322"/>
      <c r="C70" s="337"/>
      <c r="D70" s="337"/>
      <c r="E70" s="338"/>
      <c r="F70" s="322"/>
      <c r="G70" s="322"/>
      <c r="H70" s="322"/>
      <c r="I70" s="322"/>
      <c r="J70" s="322"/>
      <c r="K70" s="322"/>
      <c r="L70" s="322"/>
      <c r="M70" s="322"/>
    </row>
    <row r="71" ht="17.25" spans="1:13">
      <c r="A71" s="322"/>
      <c r="B71" s="322"/>
      <c r="C71" s="337"/>
      <c r="D71" s="337"/>
      <c r="E71" s="338"/>
      <c r="F71" s="322"/>
      <c r="G71" s="322"/>
      <c r="H71" s="322"/>
      <c r="I71" s="322"/>
      <c r="J71" s="322"/>
      <c r="K71" s="322"/>
      <c r="L71" s="322"/>
      <c r="M71" s="322"/>
    </row>
    <row r="72" ht="17.25" spans="1:13">
      <c r="A72" s="322"/>
      <c r="B72" s="322"/>
      <c r="C72" s="337"/>
      <c r="D72" s="337"/>
      <c r="E72" s="338"/>
      <c r="F72" s="322"/>
      <c r="G72" s="322"/>
      <c r="H72" s="322"/>
      <c r="I72" s="322"/>
      <c r="J72" s="322"/>
      <c r="K72" s="322"/>
      <c r="L72" s="322"/>
      <c r="M72" s="322"/>
    </row>
    <row r="73" ht="17.25" spans="1:13">
      <c r="A73" s="322"/>
      <c r="B73" s="322"/>
      <c r="C73" s="337"/>
      <c r="D73" s="337"/>
      <c r="E73" s="338"/>
      <c r="F73" s="322"/>
      <c r="G73" s="322"/>
      <c r="H73" s="322"/>
      <c r="I73" s="322"/>
      <c r="J73" s="322"/>
      <c r="K73" s="322"/>
      <c r="L73" s="322"/>
      <c r="M73" s="322"/>
    </row>
    <row r="74" ht="17.25" spans="1:13">
      <c r="A74" s="322"/>
      <c r="B74" s="322"/>
      <c r="C74" s="337"/>
      <c r="D74" s="337"/>
      <c r="E74" s="338"/>
      <c r="F74" s="322"/>
      <c r="G74" s="322"/>
      <c r="H74" s="322"/>
      <c r="I74" s="322"/>
      <c r="J74" s="322"/>
      <c r="K74" s="322"/>
      <c r="L74" s="322"/>
      <c r="M74" s="322"/>
    </row>
    <row r="75" ht="17.25" spans="1:13">
      <c r="A75" s="322"/>
      <c r="B75" s="322"/>
      <c r="C75" s="337"/>
      <c r="D75" s="337"/>
      <c r="E75" s="338"/>
      <c r="F75" s="322"/>
      <c r="G75" s="322"/>
      <c r="H75" s="322"/>
      <c r="I75" s="322"/>
      <c r="J75" s="322"/>
      <c r="K75" s="322"/>
      <c r="L75" s="322"/>
      <c r="M75" s="322"/>
    </row>
    <row r="76" ht="17.25" spans="1:13">
      <c r="A76" s="322"/>
      <c r="B76" s="322"/>
      <c r="C76" s="337"/>
      <c r="D76" s="337"/>
      <c r="E76" s="338"/>
      <c r="F76" s="322"/>
      <c r="G76" s="322"/>
      <c r="H76" s="322"/>
      <c r="I76" s="322"/>
      <c r="J76" s="322"/>
      <c r="K76" s="322"/>
      <c r="L76" s="322"/>
      <c r="M76" s="322"/>
    </row>
    <row r="77" ht="17.25" spans="1:13">
      <c r="A77" s="322"/>
      <c r="B77" s="322"/>
      <c r="C77" s="337"/>
      <c r="D77" s="337"/>
      <c r="E77" s="338"/>
      <c r="F77" s="322"/>
      <c r="G77" s="322"/>
      <c r="H77" s="322"/>
      <c r="I77" s="322"/>
      <c r="J77" s="322"/>
      <c r="K77" s="322"/>
      <c r="L77" s="322"/>
      <c r="M77" s="322"/>
    </row>
    <row r="78" ht="17.25" spans="1:13">
      <c r="A78" s="322"/>
      <c r="B78" s="322"/>
      <c r="C78" s="337"/>
      <c r="D78" s="337"/>
      <c r="E78" s="338"/>
      <c r="F78" s="322"/>
      <c r="G78" s="322"/>
      <c r="H78" s="322"/>
      <c r="I78" s="322"/>
      <c r="J78" s="322"/>
      <c r="K78" s="322"/>
      <c r="L78" s="322"/>
      <c r="M78" s="322"/>
    </row>
    <row r="79" ht="17.25" spans="1:13">
      <c r="A79" s="322"/>
      <c r="B79" s="322"/>
      <c r="C79" s="337"/>
      <c r="D79" s="337"/>
      <c r="E79" s="338"/>
      <c r="F79" s="322"/>
      <c r="G79" s="322"/>
      <c r="H79" s="322"/>
      <c r="I79" s="322"/>
      <c r="J79" s="322"/>
      <c r="K79" s="322"/>
      <c r="L79" s="322"/>
      <c r="M79" s="322"/>
    </row>
    <row r="80" ht="17.25" spans="1:13">
      <c r="A80" s="322"/>
      <c r="B80" s="322"/>
      <c r="C80" s="337"/>
      <c r="D80" s="337"/>
      <c r="E80" s="338"/>
      <c r="F80" s="322"/>
      <c r="G80" s="322"/>
      <c r="H80" s="322"/>
      <c r="I80" s="322"/>
      <c r="J80" s="322"/>
      <c r="K80" s="322"/>
      <c r="L80" s="322"/>
      <c r="M80" s="322"/>
    </row>
    <row r="81" ht="17.25" spans="1:13">
      <c r="A81" s="322"/>
      <c r="B81" s="322"/>
      <c r="C81" s="337"/>
      <c r="D81" s="337"/>
      <c r="E81" s="338"/>
      <c r="F81" s="322"/>
      <c r="G81" s="322"/>
      <c r="H81" s="322"/>
      <c r="I81" s="322"/>
      <c r="J81" s="322"/>
      <c r="K81" s="322"/>
      <c r="L81" s="322"/>
      <c r="M81" s="322"/>
    </row>
    <row r="82" ht="17.25" spans="1:13">
      <c r="A82" s="322"/>
      <c r="B82" s="322"/>
      <c r="C82" s="337"/>
      <c r="D82" s="337"/>
      <c r="E82" s="338"/>
      <c r="F82" s="322"/>
      <c r="G82" s="322"/>
      <c r="H82" s="322"/>
      <c r="I82" s="322"/>
      <c r="J82" s="322"/>
      <c r="K82" s="322"/>
      <c r="L82" s="322"/>
      <c r="M82" s="322"/>
    </row>
    <row r="83" ht="17.25" spans="1:13">
      <c r="A83" s="322"/>
      <c r="B83" s="322"/>
      <c r="C83" s="337"/>
      <c r="D83" s="337"/>
      <c r="E83" s="338"/>
      <c r="F83" s="322"/>
      <c r="G83" s="322"/>
      <c r="H83" s="322"/>
      <c r="I83" s="322"/>
      <c r="J83" s="322"/>
      <c r="K83" s="322"/>
      <c r="L83" s="322"/>
      <c r="M83" s="322"/>
    </row>
    <row r="84" ht="17.25" spans="1:13">
      <c r="A84" s="322"/>
      <c r="B84" s="322"/>
      <c r="C84" s="337"/>
      <c r="D84" s="337"/>
      <c r="E84" s="338"/>
      <c r="F84" s="322"/>
      <c r="G84" s="322"/>
      <c r="H84" s="322"/>
      <c r="I84" s="322"/>
      <c r="J84" s="322"/>
      <c r="K84" s="322"/>
      <c r="L84" s="322"/>
      <c r="M84" s="322"/>
    </row>
    <row r="85" ht="17.25" spans="1:13">
      <c r="A85" s="322"/>
      <c r="B85" s="322"/>
      <c r="C85" s="337"/>
      <c r="D85" s="337"/>
      <c r="E85" s="338"/>
      <c r="F85" s="322"/>
      <c r="G85" s="322"/>
      <c r="H85" s="322"/>
      <c r="I85" s="322"/>
      <c r="J85" s="322"/>
      <c r="K85" s="322"/>
      <c r="L85" s="322"/>
      <c r="M85" s="322"/>
    </row>
    <row r="86" ht="17.25" spans="1:13">
      <c r="A86" s="322"/>
      <c r="B86" s="322"/>
      <c r="C86" s="337"/>
      <c r="D86" s="337"/>
      <c r="E86" s="338"/>
      <c r="F86" s="322"/>
      <c r="G86" s="322"/>
      <c r="H86" s="322"/>
      <c r="I86" s="322"/>
      <c r="J86" s="322"/>
      <c r="K86" s="322"/>
      <c r="L86" s="322"/>
      <c r="M86" s="322"/>
    </row>
    <row r="87" ht="17.25" spans="1:13">
      <c r="A87" s="322"/>
      <c r="B87" s="322"/>
      <c r="C87" s="337"/>
      <c r="D87" s="337"/>
      <c r="E87" s="338"/>
      <c r="F87" s="322"/>
      <c r="G87" s="322"/>
      <c r="H87" s="322"/>
      <c r="I87" s="322"/>
      <c r="J87" s="322"/>
      <c r="K87" s="322"/>
      <c r="L87" s="322"/>
      <c r="M87" s="322"/>
    </row>
    <row r="88" ht="17.25" spans="1:13">
      <c r="A88" s="322"/>
      <c r="B88" s="322"/>
      <c r="C88" s="337"/>
      <c r="D88" s="337"/>
      <c r="E88" s="338"/>
      <c r="F88" s="322"/>
      <c r="G88" s="322"/>
      <c r="H88" s="322"/>
      <c r="I88" s="322"/>
      <c r="J88" s="322"/>
      <c r="K88" s="322"/>
      <c r="L88" s="322"/>
      <c r="M88" s="322"/>
    </row>
    <row r="89" ht="17.25" spans="1:13">
      <c r="A89" s="322"/>
      <c r="B89" s="322"/>
      <c r="C89" s="337"/>
      <c r="D89" s="337"/>
      <c r="E89" s="338"/>
      <c r="F89" s="322"/>
      <c r="G89" s="322"/>
      <c r="H89" s="322"/>
      <c r="I89" s="322"/>
      <c r="J89" s="322"/>
      <c r="K89" s="322"/>
      <c r="L89" s="322"/>
      <c r="M89" s="322"/>
    </row>
    <row r="90" ht="17.25" spans="1:13">
      <c r="A90" s="322"/>
      <c r="B90" s="322"/>
      <c r="C90" s="337"/>
      <c r="D90" s="337"/>
      <c r="E90" s="338"/>
      <c r="F90" s="322"/>
      <c r="G90" s="322"/>
      <c r="H90" s="322"/>
      <c r="I90" s="322"/>
      <c r="J90" s="322"/>
      <c r="K90" s="322"/>
      <c r="L90" s="322"/>
      <c r="M90" s="322"/>
    </row>
    <row r="91" ht="17.25" spans="1:13">
      <c r="A91" s="322"/>
      <c r="B91" s="322"/>
      <c r="C91" s="337"/>
      <c r="D91" s="337"/>
      <c r="E91" s="338"/>
      <c r="F91" s="322"/>
      <c r="G91" s="322"/>
      <c r="H91" s="322"/>
      <c r="I91" s="322"/>
      <c r="J91" s="322"/>
      <c r="K91" s="322"/>
      <c r="L91" s="322"/>
      <c r="M91" s="322"/>
    </row>
    <row r="92" ht="17.25" spans="1:13">
      <c r="A92" s="322"/>
      <c r="B92" s="322"/>
      <c r="C92" s="337"/>
      <c r="D92" s="337"/>
      <c r="E92" s="338"/>
      <c r="F92" s="322"/>
      <c r="G92" s="322"/>
      <c r="H92" s="322"/>
      <c r="I92" s="322"/>
      <c r="J92" s="322"/>
      <c r="K92" s="322"/>
      <c r="L92" s="322"/>
      <c r="M92" s="322"/>
    </row>
    <row r="93" ht="17.25" spans="1:13">
      <c r="A93" s="322"/>
      <c r="B93" s="322"/>
      <c r="C93" s="337"/>
      <c r="D93" s="337"/>
      <c r="E93" s="338"/>
      <c r="F93" s="322"/>
      <c r="G93" s="322"/>
      <c r="H93" s="322"/>
      <c r="I93" s="322"/>
      <c r="J93" s="322"/>
      <c r="K93" s="322"/>
      <c r="L93" s="322"/>
      <c r="M93" s="322"/>
    </row>
    <row r="94" ht="17.25" spans="1:13">
      <c r="A94" s="322"/>
      <c r="B94" s="322"/>
      <c r="C94" s="337"/>
      <c r="D94" s="337"/>
      <c r="E94" s="338"/>
      <c r="F94" s="322"/>
      <c r="G94" s="322"/>
      <c r="H94" s="322"/>
      <c r="I94" s="322"/>
      <c r="J94" s="322"/>
      <c r="K94" s="322"/>
      <c r="L94" s="322"/>
      <c r="M94" s="322"/>
    </row>
    <row r="95" ht="17.25" spans="1:13">
      <c r="A95" s="322"/>
      <c r="B95" s="322"/>
      <c r="C95" s="337"/>
      <c r="D95" s="337"/>
      <c r="E95" s="338"/>
      <c r="F95" s="322"/>
      <c r="G95" s="322"/>
      <c r="H95" s="322"/>
      <c r="I95" s="322"/>
      <c r="J95" s="322"/>
      <c r="K95" s="322"/>
      <c r="L95" s="322"/>
      <c r="M95" s="322"/>
    </row>
    <row r="96" ht="17.25" spans="1:13">
      <c r="A96" s="322"/>
      <c r="B96" s="322"/>
      <c r="C96" s="337"/>
      <c r="D96" s="337"/>
      <c r="E96" s="338"/>
      <c r="F96" s="322"/>
      <c r="G96" s="322"/>
      <c r="H96" s="322"/>
      <c r="I96" s="322"/>
      <c r="J96" s="322"/>
      <c r="K96" s="322"/>
      <c r="L96" s="322"/>
      <c r="M96" s="322"/>
    </row>
    <row r="97" ht="17.25" spans="1:13">
      <c r="A97" s="322"/>
      <c r="B97" s="322"/>
      <c r="C97" s="337"/>
      <c r="D97" s="337"/>
      <c r="E97" s="338"/>
      <c r="F97" s="322"/>
      <c r="G97" s="322"/>
      <c r="H97" s="322"/>
      <c r="I97" s="322"/>
      <c r="J97" s="322"/>
      <c r="K97" s="322"/>
      <c r="L97" s="322"/>
      <c r="M97" s="322"/>
    </row>
    <row r="98" ht="17.25" spans="1:13">
      <c r="A98" s="322"/>
      <c r="B98" s="322"/>
      <c r="C98" s="337"/>
      <c r="D98" s="337"/>
      <c r="E98" s="338"/>
      <c r="F98" s="322"/>
      <c r="G98" s="322"/>
      <c r="H98" s="322"/>
      <c r="I98" s="322"/>
      <c r="J98" s="322"/>
      <c r="K98" s="322"/>
      <c r="L98" s="322"/>
      <c r="M98" s="322"/>
    </row>
    <row r="99" ht="17.25" spans="1:13">
      <c r="A99" s="322"/>
      <c r="B99" s="322"/>
      <c r="C99" s="337"/>
      <c r="D99" s="337"/>
      <c r="E99" s="338"/>
      <c r="F99" s="322"/>
      <c r="G99" s="322"/>
      <c r="H99" s="322"/>
      <c r="I99" s="322"/>
      <c r="J99" s="322"/>
      <c r="K99" s="322"/>
      <c r="L99" s="322"/>
      <c r="M99" s="322"/>
    </row>
    <row r="100" ht="17.25" spans="1:13">
      <c r="A100" s="322"/>
      <c r="B100" s="322"/>
      <c r="C100" s="337"/>
      <c r="D100" s="337"/>
      <c r="E100" s="338"/>
      <c r="F100" s="322"/>
      <c r="G100" s="322"/>
      <c r="H100" s="322"/>
      <c r="I100" s="322"/>
      <c r="J100" s="322"/>
      <c r="K100" s="322"/>
      <c r="L100" s="322"/>
      <c r="M100" s="322"/>
    </row>
    <row r="101" ht="17.25" spans="1:13">
      <c r="A101" s="322"/>
      <c r="B101" s="322"/>
      <c r="C101" s="337"/>
      <c r="D101" s="337"/>
      <c r="E101" s="338"/>
      <c r="F101" s="322"/>
      <c r="G101" s="322"/>
      <c r="H101" s="322"/>
      <c r="I101" s="322"/>
      <c r="J101" s="322"/>
      <c r="K101" s="322"/>
      <c r="L101" s="322"/>
      <c r="M101" s="322"/>
    </row>
    <row r="102" ht="17.25" spans="1:13">
      <c r="A102" s="322"/>
      <c r="B102" s="322"/>
      <c r="C102" s="337"/>
      <c r="D102" s="337"/>
      <c r="E102" s="338"/>
      <c r="F102" s="322"/>
      <c r="G102" s="322"/>
      <c r="H102" s="322"/>
      <c r="I102" s="322"/>
      <c r="J102" s="322"/>
      <c r="K102" s="322"/>
      <c r="L102" s="322"/>
      <c r="M102" s="322"/>
    </row>
    <row r="103" ht="17.25" spans="1:13">
      <c r="A103" s="322"/>
      <c r="B103" s="322"/>
      <c r="C103" s="337"/>
      <c r="D103" s="337"/>
      <c r="E103" s="338"/>
      <c r="F103" s="322"/>
      <c r="G103" s="322"/>
      <c r="H103" s="322"/>
      <c r="I103" s="322"/>
      <c r="J103" s="322"/>
      <c r="K103" s="322"/>
      <c r="L103" s="322"/>
      <c r="M103" s="322"/>
    </row>
    <row r="104" ht="17.25" spans="1:13">
      <c r="A104" s="322"/>
      <c r="B104" s="322"/>
      <c r="C104" s="337"/>
      <c r="D104" s="337"/>
      <c r="E104" s="338"/>
      <c r="F104" s="322"/>
      <c r="G104" s="322"/>
      <c r="H104" s="322"/>
      <c r="I104" s="322"/>
      <c r="J104" s="322"/>
      <c r="K104" s="322"/>
      <c r="L104" s="322"/>
      <c r="M104" s="322"/>
    </row>
    <row r="105" ht="17.25" spans="1:13">
      <c r="A105" s="322"/>
      <c r="B105" s="322"/>
      <c r="C105" s="337"/>
      <c r="D105" s="337"/>
      <c r="E105" s="338"/>
      <c r="F105" s="322"/>
      <c r="G105" s="322"/>
      <c r="H105" s="322"/>
      <c r="I105" s="322"/>
      <c r="J105" s="322"/>
      <c r="K105" s="322"/>
      <c r="L105" s="322"/>
      <c r="M105" s="322"/>
    </row>
    <row r="106" ht="17.25" spans="1:13">
      <c r="A106" s="322"/>
      <c r="B106" s="322"/>
      <c r="C106" s="337"/>
      <c r="D106" s="337"/>
      <c r="E106" s="338"/>
      <c r="F106" s="322"/>
      <c r="G106" s="322"/>
      <c r="H106" s="322"/>
      <c r="I106" s="322"/>
      <c r="J106" s="322"/>
      <c r="K106" s="322"/>
      <c r="L106" s="322"/>
      <c r="M106" s="322"/>
    </row>
    <row r="107" ht="17.25" spans="1:13">
      <c r="A107" s="322"/>
      <c r="B107" s="322"/>
      <c r="C107" s="337"/>
      <c r="D107" s="337"/>
      <c r="E107" s="338"/>
      <c r="F107" s="322"/>
      <c r="G107" s="322"/>
      <c r="H107" s="322"/>
      <c r="I107" s="322"/>
      <c r="J107" s="322"/>
      <c r="K107" s="322"/>
      <c r="L107" s="322"/>
      <c r="M107" s="322"/>
    </row>
    <row r="108" ht="17.25" spans="1:13">
      <c r="A108" s="322"/>
      <c r="B108" s="322"/>
      <c r="C108" s="337"/>
      <c r="D108" s="337"/>
      <c r="E108" s="338"/>
      <c r="F108" s="322"/>
      <c r="G108" s="322"/>
      <c r="H108" s="322"/>
      <c r="I108" s="322"/>
      <c r="J108" s="322"/>
      <c r="K108" s="322"/>
      <c r="L108" s="322"/>
      <c r="M108" s="322"/>
    </row>
    <row r="109" ht="17.25" spans="1:13">
      <c r="A109" s="322"/>
      <c r="B109" s="322"/>
      <c r="C109" s="337"/>
      <c r="D109" s="337"/>
      <c r="E109" s="338"/>
      <c r="F109" s="322"/>
      <c r="G109" s="322"/>
      <c r="H109" s="322"/>
      <c r="I109" s="322"/>
      <c r="J109" s="322"/>
      <c r="K109" s="322"/>
      <c r="L109" s="322"/>
      <c r="M109" s="322"/>
    </row>
    <row r="110" ht="17.25" spans="1:13">
      <c r="A110" s="322"/>
      <c r="B110" s="322"/>
      <c r="C110" s="337"/>
      <c r="D110" s="337"/>
      <c r="E110" s="338"/>
      <c r="F110" s="322"/>
      <c r="G110" s="322"/>
      <c r="H110" s="322"/>
      <c r="I110" s="322"/>
      <c r="J110" s="322"/>
      <c r="K110" s="322"/>
      <c r="L110" s="322"/>
      <c r="M110" s="322"/>
    </row>
    <row r="111" ht="17.25" spans="1:13">
      <c r="A111" s="322"/>
      <c r="B111" s="322"/>
      <c r="C111" s="337"/>
      <c r="D111" s="337"/>
      <c r="E111" s="338"/>
      <c r="F111" s="322"/>
      <c r="G111" s="322"/>
      <c r="H111" s="322"/>
      <c r="I111" s="322"/>
      <c r="J111" s="322"/>
      <c r="K111" s="322"/>
      <c r="L111" s="322"/>
      <c r="M111" s="322"/>
    </row>
    <row r="112" ht="17.25" spans="1:13">
      <c r="A112" s="322"/>
      <c r="B112" s="322"/>
      <c r="C112" s="337"/>
      <c r="D112" s="337"/>
      <c r="E112" s="338"/>
      <c r="F112" s="322"/>
      <c r="G112" s="322"/>
      <c r="H112" s="322"/>
      <c r="I112" s="322"/>
      <c r="J112" s="322"/>
      <c r="K112" s="322"/>
      <c r="L112" s="322"/>
      <c r="M112" s="322"/>
    </row>
    <row r="113" ht="17.25" spans="1:13">
      <c r="A113" s="322"/>
      <c r="B113" s="322"/>
      <c r="C113" s="337"/>
      <c r="D113" s="337"/>
      <c r="E113" s="338"/>
      <c r="F113" s="322"/>
      <c r="G113" s="322"/>
      <c r="H113" s="322"/>
      <c r="I113" s="322"/>
      <c r="J113" s="322"/>
      <c r="K113" s="322"/>
      <c r="L113" s="322"/>
      <c r="M113" s="322"/>
    </row>
    <row r="114" ht="17.25" spans="1:13">
      <c r="A114" s="322"/>
      <c r="B114" s="322"/>
      <c r="C114" s="337"/>
      <c r="D114" s="337"/>
      <c r="E114" s="338"/>
      <c r="F114" s="322"/>
      <c r="G114" s="322"/>
      <c r="H114" s="322"/>
      <c r="I114" s="322"/>
      <c r="J114" s="322"/>
      <c r="K114" s="322"/>
      <c r="L114" s="322"/>
      <c r="M114" s="322"/>
    </row>
    <row r="115" ht="17.25" spans="1:13">
      <c r="A115" s="322"/>
      <c r="B115" s="322"/>
      <c r="C115" s="337"/>
      <c r="D115" s="337"/>
      <c r="E115" s="338"/>
      <c r="F115" s="322"/>
      <c r="G115" s="322"/>
      <c r="H115" s="322"/>
      <c r="I115" s="322"/>
      <c r="J115" s="322"/>
      <c r="K115" s="322"/>
      <c r="L115" s="322"/>
      <c r="M115" s="322"/>
    </row>
    <row r="116" ht="17.25" spans="1:13">
      <c r="A116" s="322"/>
      <c r="B116" s="322"/>
      <c r="C116" s="337"/>
      <c r="D116" s="337"/>
      <c r="E116" s="338"/>
      <c r="F116" s="322"/>
      <c r="G116" s="322"/>
      <c r="H116" s="322"/>
      <c r="I116" s="322"/>
      <c r="J116" s="322"/>
      <c r="K116" s="322"/>
      <c r="L116" s="322"/>
      <c r="M116" s="322"/>
    </row>
    <row r="117" ht="17.25" spans="1:13">
      <c r="A117" s="322"/>
      <c r="B117" s="322"/>
      <c r="C117" s="337"/>
      <c r="D117" s="337"/>
      <c r="E117" s="338"/>
      <c r="F117" s="322"/>
      <c r="G117" s="322"/>
      <c r="H117" s="322"/>
      <c r="I117" s="322"/>
      <c r="J117" s="322"/>
      <c r="K117" s="322"/>
      <c r="L117" s="322"/>
      <c r="M117" s="322"/>
    </row>
    <row r="118" ht="17.25" spans="1:13">
      <c r="A118" s="322"/>
      <c r="B118" s="322"/>
      <c r="C118" s="337"/>
      <c r="D118" s="337"/>
      <c r="E118" s="338"/>
      <c r="F118" s="322"/>
      <c r="G118" s="322"/>
      <c r="H118" s="322"/>
      <c r="I118" s="322"/>
      <c r="J118" s="322"/>
      <c r="K118" s="322"/>
      <c r="L118" s="322"/>
      <c r="M118" s="322"/>
    </row>
    <row r="119" ht="17.25" spans="1:13">
      <c r="A119" s="322"/>
      <c r="B119" s="322"/>
      <c r="C119" s="337"/>
      <c r="D119" s="337"/>
      <c r="E119" s="338"/>
      <c r="F119" s="322"/>
      <c r="G119" s="322"/>
      <c r="H119" s="322"/>
      <c r="I119" s="322"/>
      <c r="J119" s="322"/>
      <c r="K119" s="322"/>
      <c r="L119" s="322"/>
      <c r="M119" s="322"/>
    </row>
    <row r="120" ht="17.25" spans="1:13">
      <c r="A120" s="322"/>
      <c r="B120" s="322"/>
      <c r="C120" s="337"/>
      <c r="D120" s="337"/>
      <c r="E120" s="338"/>
      <c r="F120" s="322"/>
      <c r="G120" s="322"/>
      <c r="H120" s="322"/>
      <c r="I120" s="322"/>
      <c r="J120" s="322"/>
      <c r="K120" s="322"/>
      <c r="L120" s="322"/>
      <c r="M120" s="322"/>
    </row>
    <row r="121" ht="17.25" spans="1:13">
      <c r="A121" s="322"/>
      <c r="B121" s="322"/>
      <c r="C121" s="337"/>
      <c r="D121" s="337"/>
      <c r="E121" s="338"/>
      <c r="F121" s="322"/>
      <c r="G121" s="322"/>
      <c r="H121" s="322"/>
      <c r="I121" s="322"/>
      <c r="J121" s="322"/>
      <c r="K121" s="322"/>
      <c r="L121" s="322"/>
      <c r="M121" s="322"/>
    </row>
    <row r="122" ht="17.25" spans="1:13">
      <c r="A122" s="322"/>
      <c r="B122" s="322"/>
      <c r="C122" s="337"/>
      <c r="D122" s="337"/>
      <c r="E122" s="338"/>
      <c r="F122" s="322"/>
      <c r="G122" s="322"/>
      <c r="H122" s="322"/>
      <c r="I122" s="322"/>
      <c r="J122" s="322"/>
      <c r="K122" s="322"/>
      <c r="L122" s="322"/>
      <c r="M122" s="322"/>
    </row>
    <row r="123" ht="17.25" spans="1:13">
      <c r="A123" s="322"/>
      <c r="B123" s="322"/>
      <c r="C123" s="337"/>
      <c r="D123" s="337"/>
      <c r="E123" s="338"/>
      <c r="F123" s="322"/>
      <c r="G123" s="322"/>
      <c r="H123" s="322"/>
      <c r="I123" s="322"/>
      <c r="J123" s="322"/>
      <c r="K123" s="322"/>
      <c r="L123" s="322"/>
      <c r="M123" s="322"/>
    </row>
    <row r="124" ht="17.25" spans="1:13">
      <c r="A124" s="322"/>
      <c r="B124" s="322"/>
      <c r="C124" s="337"/>
      <c r="D124" s="337"/>
      <c r="E124" s="338"/>
      <c r="F124" s="322"/>
      <c r="G124" s="322"/>
      <c r="H124" s="322"/>
      <c r="I124" s="322"/>
      <c r="J124" s="322"/>
      <c r="K124" s="322"/>
      <c r="L124" s="322"/>
      <c r="M124" s="322"/>
    </row>
    <row r="125" ht="17.25" spans="1:13">
      <c r="A125" s="322"/>
      <c r="B125" s="322"/>
      <c r="C125" s="337"/>
      <c r="D125" s="337"/>
      <c r="E125" s="338"/>
      <c r="F125" s="322"/>
      <c r="G125" s="322"/>
      <c r="H125" s="322"/>
      <c r="I125" s="322"/>
      <c r="J125" s="322"/>
      <c r="K125" s="322"/>
      <c r="L125" s="322"/>
      <c r="M125" s="322"/>
    </row>
    <row r="126" ht="17.25" spans="1:13">
      <c r="A126" s="322"/>
      <c r="B126" s="322"/>
      <c r="C126" s="337"/>
      <c r="D126" s="337"/>
      <c r="E126" s="338"/>
      <c r="F126" s="322"/>
      <c r="G126" s="322"/>
      <c r="H126" s="322"/>
      <c r="I126" s="322"/>
      <c r="J126" s="322"/>
      <c r="K126" s="322"/>
      <c r="L126" s="322"/>
      <c r="M126" s="322"/>
    </row>
    <row r="127" ht="17.25" spans="1:13">
      <c r="A127" s="322"/>
      <c r="B127" s="322"/>
      <c r="C127" s="337"/>
      <c r="D127" s="337"/>
      <c r="E127" s="338"/>
      <c r="F127" s="322"/>
      <c r="G127" s="322"/>
      <c r="H127" s="322"/>
      <c r="I127" s="322"/>
      <c r="J127" s="322"/>
      <c r="K127" s="322"/>
      <c r="L127" s="322"/>
      <c r="M127" s="322"/>
    </row>
    <row r="128" ht="17.25" spans="1:13">
      <c r="A128" s="322"/>
      <c r="B128" s="322"/>
      <c r="C128" s="337"/>
      <c r="D128" s="337"/>
      <c r="E128" s="338"/>
      <c r="F128" s="322"/>
      <c r="G128" s="322"/>
      <c r="H128" s="322"/>
      <c r="I128" s="322"/>
      <c r="J128" s="322"/>
      <c r="K128" s="322"/>
      <c r="L128" s="322"/>
      <c r="M128" s="322"/>
    </row>
    <row r="129" ht="17.25" spans="1:13">
      <c r="A129" s="322"/>
      <c r="B129" s="322"/>
      <c r="C129" s="337"/>
      <c r="D129" s="337"/>
      <c r="E129" s="338"/>
      <c r="F129" s="322"/>
      <c r="G129" s="322"/>
      <c r="H129" s="322"/>
      <c r="I129" s="322"/>
      <c r="J129" s="322"/>
      <c r="K129" s="322"/>
      <c r="L129" s="322"/>
      <c r="M129" s="322"/>
    </row>
    <row r="130" ht="17.25" spans="1:13">
      <c r="A130" s="322"/>
      <c r="B130" s="322"/>
      <c r="C130" s="337"/>
      <c r="D130" s="337"/>
      <c r="E130" s="338"/>
      <c r="F130" s="322"/>
      <c r="G130" s="322"/>
      <c r="H130" s="322"/>
      <c r="I130" s="322"/>
      <c r="J130" s="322"/>
      <c r="K130" s="322"/>
      <c r="L130" s="322"/>
      <c r="M130" s="322"/>
    </row>
    <row r="131" ht="17.25" spans="1:13">
      <c r="A131" s="322"/>
      <c r="B131" s="322"/>
      <c r="C131" s="337"/>
      <c r="D131" s="337"/>
      <c r="E131" s="338"/>
      <c r="F131" s="322"/>
      <c r="G131" s="322"/>
      <c r="H131" s="322"/>
      <c r="I131" s="322"/>
      <c r="J131" s="322"/>
      <c r="K131" s="322"/>
      <c r="L131" s="322"/>
      <c r="M131" s="322"/>
    </row>
    <row r="132" ht="17.25" spans="1:13">
      <c r="A132" s="322"/>
      <c r="B132" s="322"/>
      <c r="C132" s="337"/>
      <c r="D132" s="337"/>
      <c r="E132" s="338"/>
      <c r="F132" s="322"/>
      <c r="G132" s="322"/>
      <c r="H132" s="322"/>
      <c r="I132" s="322"/>
      <c r="J132" s="322"/>
      <c r="K132" s="322"/>
      <c r="L132" s="322"/>
      <c r="M132" s="322"/>
    </row>
    <row r="133" ht="17.25" spans="1:13">
      <c r="A133" s="322"/>
      <c r="B133" s="322"/>
      <c r="C133" s="337"/>
      <c r="D133" s="337"/>
      <c r="E133" s="338"/>
      <c r="F133" s="322"/>
      <c r="G133" s="322"/>
      <c r="H133" s="322"/>
      <c r="I133" s="322"/>
      <c r="J133" s="322"/>
      <c r="K133" s="322"/>
      <c r="L133" s="322"/>
      <c r="M133" s="322"/>
    </row>
    <row r="134" ht="17.25" spans="1:13">
      <c r="A134" s="322"/>
      <c r="B134" s="322"/>
      <c r="C134" s="337"/>
      <c r="D134" s="337"/>
      <c r="E134" s="338"/>
      <c r="F134" s="322"/>
      <c r="G134" s="322"/>
      <c r="H134" s="322"/>
      <c r="I134" s="322"/>
      <c r="J134" s="322"/>
      <c r="K134" s="322"/>
      <c r="L134" s="322"/>
      <c r="M134" s="322"/>
    </row>
    <row r="135" ht="17.25" spans="1:13">
      <c r="A135" s="322"/>
      <c r="B135" s="322"/>
      <c r="C135" s="337"/>
      <c r="D135" s="337"/>
      <c r="E135" s="338"/>
      <c r="F135" s="322"/>
      <c r="G135" s="322"/>
      <c r="H135" s="322"/>
      <c r="I135" s="322"/>
      <c r="J135" s="322"/>
      <c r="K135" s="322"/>
      <c r="L135" s="322"/>
      <c r="M135" s="322"/>
    </row>
    <row r="136" ht="17.25" spans="1:13">
      <c r="A136" s="322"/>
      <c r="B136" s="322"/>
      <c r="C136" s="337"/>
      <c r="D136" s="337"/>
      <c r="E136" s="338"/>
      <c r="F136" s="322"/>
      <c r="G136" s="322"/>
      <c r="H136" s="322"/>
      <c r="I136" s="322"/>
      <c r="J136" s="322"/>
      <c r="K136" s="322"/>
      <c r="L136" s="322"/>
      <c r="M136" s="322"/>
    </row>
    <row r="137" ht="17.25" spans="1:13">
      <c r="A137" s="322"/>
      <c r="B137" s="322"/>
      <c r="C137" s="337"/>
      <c r="D137" s="337"/>
      <c r="E137" s="338"/>
      <c r="F137" s="322"/>
      <c r="G137" s="322"/>
      <c r="H137" s="322"/>
      <c r="I137" s="322"/>
      <c r="J137" s="322"/>
      <c r="K137" s="322"/>
      <c r="L137" s="322"/>
      <c r="M137" s="322"/>
    </row>
    <row r="138" ht="17.25" spans="1:13">
      <c r="A138" s="322"/>
      <c r="B138" s="322"/>
      <c r="C138" s="337"/>
      <c r="D138" s="337"/>
      <c r="E138" s="338"/>
      <c r="F138" s="322"/>
      <c r="G138" s="322"/>
      <c r="H138" s="322"/>
      <c r="I138" s="322"/>
      <c r="J138" s="322"/>
      <c r="K138" s="322"/>
      <c r="L138" s="322"/>
      <c r="M138" s="322"/>
    </row>
    <row r="139" ht="17.25" spans="1:13">
      <c r="A139" s="322"/>
      <c r="B139" s="322"/>
      <c r="C139" s="337"/>
      <c r="D139" s="337"/>
      <c r="E139" s="338"/>
      <c r="F139" s="322"/>
      <c r="G139" s="322"/>
      <c r="H139" s="322"/>
      <c r="I139" s="322"/>
      <c r="J139" s="322"/>
      <c r="K139" s="322"/>
      <c r="L139" s="322"/>
      <c r="M139" s="322"/>
    </row>
    <row r="140" ht="17.25" spans="1:13">
      <c r="A140" s="322"/>
      <c r="B140" s="322"/>
      <c r="C140" s="337"/>
      <c r="D140" s="337"/>
      <c r="E140" s="338"/>
      <c r="F140" s="322"/>
      <c r="G140" s="322"/>
      <c r="H140" s="322"/>
      <c r="I140" s="322"/>
      <c r="J140" s="322"/>
      <c r="K140" s="322"/>
      <c r="L140" s="322"/>
      <c r="M140" s="322"/>
    </row>
    <row r="141" ht="17.25" spans="1:13">
      <c r="A141" s="322"/>
      <c r="B141" s="322"/>
      <c r="C141" s="337"/>
      <c r="D141" s="337"/>
      <c r="E141" s="338"/>
      <c r="F141" s="322"/>
      <c r="G141" s="322"/>
      <c r="H141" s="322"/>
      <c r="I141" s="322"/>
      <c r="J141" s="322"/>
      <c r="K141" s="322"/>
      <c r="L141" s="322"/>
      <c r="M141" s="322"/>
    </row>
    <row r="142" ht="17.25" spans="1:13">
      <c r="A142" s="322"/>
      <c r="B142" s="322"/>
      <c r="C142" s="337"/>
      <c r="D142" s="337"/>
      <c r="E142" s="338"/>
      <c r="F142" s="322"/>
      <c r="G142" s="322"/>
      <c r="H142" s="322"/>
      <c r="I142" s="322"/>
      <c r="J142" s="322"/>
      <c r="K142" s="322"/>
      <c r="L142" s="322"/>
      <c r="M142" s="322"/>
    </row>
    <row r="143" ht="17.25" spans="1:13">
      <c r="A143" s="322"/>
      <c r="B143" s="322"/>
      <c r="C143" s="337"/>
      <c r="D143" s="337"/>
      <c r="E143" s="338"/>
      <c r="F143" s="322"/>
      <c r="G143" s="322"/>
      <c r="H143" s="322"/>
      <c r="I143" s="322"/>
      <c r="J143" s="322"/>
      <c r="K143" s="322"/>
      <c r="L143" s="322"/>
      <c r="M143" s="322"/>
    </row>
    <row r="144" ht="17.25" spans="1:13">
      <c r="A144" s="322"/>
      <c r="B144" s="322"/>
      <c r="C144" s="337"/>
      <c r="D144" s="337"/>
      <c r="E144" s="338"/>
      <c r="F144" s="322"/>
      <c r="G144" s="322"/>
      <c r="H144" s="322"/>
      <c r="I144" s="322"/>
      <c r="J144" s="322"/>
      <c r="K144" s="322"/>
      <c r="L144" s="322"/>
      <c r="M144" s="322"/>
    </row>
    <row r="145" ht="17.25" spans="1:13">
      <c r="A145" s="322"/>
      <c r="B145" s="322"/>
      <c r="C145" s="337"/>
      <c r="D145" s="337"/>
      <c r="E145" s="338"/>
      <c r="F145" s="322"/>
      <c r="G145" s="322"/>
      <c r="H145" s="322"/>
      <c r="I145" s="322"/>
      <c r="J145" s="322"/>
      <c r="K145" s="322"/>
      <c r="L145" s="322"/>
      <c r="M145" s="322"/>
    </row>
    <row r="146" ht="17.25" spans="1:13">
      <c r="A146" s="322"/>
      <c r="B146" s="322"/>
      <c r="C146" s="337"/>
      <c r="D146" s="337"/>
      <c r="E146" s="338"/>
      <c r="F146" s="322"/>
      <c r="G146" s="322"/>
      <c r="H146" s="322"/>
      <c r="I146" s="322"/>
      <c r="J146" s="322"/>
      <c r="K146" s="322"/>
      <c r="L146" s="322"/>
      <c r="M146" s="322"/>
    </row>
    <row r="147" ht="17.25" spans="1:13">
      <c r="A147" s="322"/>
      <c r="B147" s="322"/>
      <c r="C147" s="337"/>
      <c r="D147" s="337"/>
      <c r="E147" s="338"/>
      <c r="F147" s="322"/>
      <c r="G147" s="322"/>
      <c r="H147" s="322"/>
      <c r="I147" s="322"/>
      <c r="J147" s="322"/>
      <c r="K147" s="322"/>
      <c r="L147" s="322"/>
      <c r="M147" s="322"/>
    </row>
    <row r="148" ht="17.25" spans="1:13">
      <c r="A148" s="322"/>
      <c r="B148" s="322"/>
      <c r="C148" s="337"/>
      <c r="D148" s="337"/>
      <c r="E148" s="338"/>
      <c r="F148" s="322"/>
      <c r="G148" s="322"/>
      <c r="H148" s="322"/>
      <c r="I148" s="322"/>
      <c r="J148" s="322"/>
      <c r="K148" s="322"/>
      <c r="L148" s="322"/>
      <c r="M148" s="322"/>
    </row>
    <row r="149" ht="17.25" spans="1:13">
      <c r="A149" s="322"/>
      <c r="B149" s="322"/>
      <c r="C149" s="337"/>
      <c r="D149" s="337"/>
      <c r="E149" s="338"/>
      <c r="F149" s="322"/>
      <c r="G149" s="322"/>
      <c r="H149" s="322"/>
      <c r="I149" s="322"/>
      <c r="J149" s="322"/>
      <c r="K149" s="322"/>
      <c r="L149" s="322"/>
      <c r="M149" s="322"/>
    </row>
    <row r="150" ht="17.25" spans="1:13">
      <c r="A150" s="322"/>
      <c r="B150" s="322"/>
      <c r="C150" s="337"/>
      <c r="D150" s="337"/>
      <c r="E150" s="338"/>
      <c r="F150" s="322"/>
      <c r="G150" s="322"/>
      <c r="H150" s="322"/>
      <c r="I150" s="322"/>
      <c r="J150" s="322"/>
      <c r="K150" s="322"/>
      <c r="L150" s="322"/>
      <c r="M150" s="322"/>
    </row>
    <row r="151" ht="17.25" spans="1:13">
      <c r="A151" s="322"/>
      <c r="B151" s="322"/>
      <c r="C151" s="337"/>
      <c r="D151" s="337"/>
      <c r="E151" s="338"/>
      <c r="F151" s="322"/>
      <c r="G151" s="322"/>
      <c r="H151" s="322"/>
      <c r="I151" s="322"/>
      <c r="J151" s="322"/>
      <c r="K151" s="322"/>
      <c r="L151" s="322"/>
      <c r="M151" s="322"/>
    </row>
    <row r="152" ht="17.25" spans="1:13">
      <c r="A152" s="322"/>
      <c r="B152" s="322"/>
      <c r="C152" s="337"/>
      <c r="D152" s="337"/>
      <c r="E152" s="338"/>
      <c r="F152" s="322"/>
      <c r="G152" s="322"/>
      <c r="H152" s="322"/>
      <c r="I152" s="322"/>
      <c r="J152" s="322"/>
      <c r="K152" s="322"/>
      <c r="L152" s="322"/>
      <c r="M152" s="322"/>
    </row>
    <row r="153" ht="17.25" spans="1:13">
      <c r="A153" s="322"/>
      <c r="B153" s="322"/>
      <c r="C153" s="337"/>
      <c r="D153" s="337"/>
      <c r="E153" s="338"/>
      <c r="F153" s="322"/>
      <c r="G153" s="322"/>
      <c r="H153" s="322"/>
      <c r="I153" s="322"/>
      <c r="J153" s="322"/>
      <c r="K153" s="322"/>
      <c r="L153" s="322"/>
      <c r="M153" s="322"/>
    </row>
    <row r="154" ht="17.25" spans="1:13">
      <c r="A154" s="322"/>
      <c r="B154" s="322"/>
      <c r="C154" s="337"/>
      <c r="D154" s="337"/>
      <c r="E154" s="338"/>
      <c r="F154" s="322"/>
      <c r="G154" s="322"/>
      <c r="H154" s="322"/>
      <c r="I154" s="322"/>
      <c r="J154" s="322"/>
      <c r="K154" s="322"/>
      <c r="L154" s="322"/>
      <c r="M154" s="322"/>
    </row>
  </sheetData>
  <autoFilter xmlns:etc="http://www.wps.cn/officeDocument/2017/etCustomData" ref="H1:H154" etc:filterBottomFollowUsedRange="0">
    <extLst/>
  </autoFilter>
  <mergeCells count="28">
    <mergeCell ref="A2:A56"/>
    <mergeCell ref="B2:B5"/>
    <mergeCell ref="B6:B31"/>
    <mergeCell ref="B32:B51"/>
    <mergeCell ref="B52:B56"/>
    <mergeCell ref="C2:C3"/>
    <mergeCell ref="C4:C5"/>
    <mergeCell ref="C6:C11"/>
    <mergeCell ref="C12:C13"/>
    <mergeCell ref="C14:C19"/>
    <mergeCell ref="C20:C21"/>
    <mergeCell ref="C23:C25"/>
    <mergeCell ref="C27:C30"/>
    <mergeCell ref="C32:C44"/>
    <mergeCell ref="C45:C51"/>
    <mergeCell ref="C52:C56"/>
    <mergeCell ref="K6:K11"/>
    <mergeCell ref="K12:K13"/>
    <mergeCell ref="K14:K19"/>
    <mergeCell ref="K20:K21"/>
    <mergeCell ref="K23:K24"/>
    <mergeCell ref="K27:K30"/>
    <mergeCell ref="K32:K35"/>
    <mergeCell ref="K36:K40"/>
    <mergeCell ref="K41:K44"/>
    <mergeCell ref="K46:K48"/>
    <mergeCell ref="K49:K50"/>
    <mergeCell ref="K52:K56"/>
  </mergeCells>
  <dataValidations count="2">
    <dataValidation type="list" allowBlank="1" showInputMessage="1" showErrorMessage="1" sqref="H$1:H$1048576">
      <formula1>"2023年度,2024年度,2025年度"</formula1>
    </dataValidation>
    <dataValidation type="list" allowBlank="1" showInputMessage="1" showErrorMessage="1" sqref="J2:J56">
      <formula1>"MxSim.MultiPhy V1.0.0,MxSim.MultiPhy V2.0.0,MxSim.MultiPhy V3.0.0"</formula1>
    </dataValidation>
  </dataValidations>
  <pageMargins left="0.75" right="0.75" top="1" bottom="1" header="0.5" footer="0.5"/>
  <pageSetup paperSize="9" orientation="portrait"/>
  <headerFooter alignWithMargins="0">
    <oddHeader>&amp;L&amp;G&amp;C&amp;F&amp;R文档密级</oddHeader>
    <oddFooter>&amp;L&amp;D&amp;C华为机密，未经许可不得扩散&amp;R第&amp;P页，共&amp;N页</oddFooter>
  </headerFooter>
  <ignoredErrors>
    <ignoredError sqref="H1" listDataValidation="1"/>
  </ignoredErrors>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3"/>
  <sheetViews>
    <sheetView zoomScale="85" zoomScaleNormal="85" workbookViewId="0">
      <pane xSplit="4" topLeftCell="E1" activePane="topRight" state="frozen"/>
      <selection/>
      <selection pane="topRight" activeCell="D9" sqref="D9"/>
    </sheetView>
  </sheetViews>
  <sheetFormatPr defaultColWidth="9" defaultRowHeight="14.25"/>
  <cols>
    <col min="1" max="1" width="8.21666666666667" style="309" customWidth="1"/>
    <col min="2" max="2" width="15.3333333333333" style="309" customWidth="1"/>
    <col min="3" max="3" width="32.1083333333333" style="309" customWidth="1"/>
    <col min="4" max="4" width="16.4416666666667" style="310" customWidth="1"/>
    <col min="5" max="5" width="77.2166666666667" style="309" customWidth="1"/>
    <col min="6" max="6" width="32.4916666666667" style="309" customWidth="1"/>
    <col min="7" max="7" width="27.775" style="311" customWidth="1"/>
    <col min="8" max="8" width="11.8833333333333" style="312" customWidth="1"/>
    <col min="9" max="9" width="19.75" style="312" customWidth="1"/>
    <col min="10" max="11" width="32.8833333333333" style="312" customWidth="1"/>
    <col min="12" max="12" width="19.6666666666667" style="309" customWidth="1"/>
    <col min="13" max="13" width="13.2333333333333" style="309" customWidth="1"/>
    <col min="14" max="16383" width="9" style="309"/>
  </cols>
  <sheetData>
    <row r="1" ht="89.4" customHeight="1" spans="1:13">
      <c r="A1" s="313" t="s">
        <v>0</v>
      </c>
      <c r="B1" s="313" t="s">
        <v>1</v>
      </c>
      <c r="C1" s="313" t="s">
        <v>2</v>
      </c>
      <c r="D1" s="313" t="s">
        <v>173</v>
      </c>
      <c r="E1" s="313" t="s">
        <v>4</v>
      </c>
      <c r="F1" s="313" t="s">
        <v>174</v>
      </c>
      <c r="G1" s="249" t="s">
        <v>6</v>
      </c>
      <c r="H1" s="314" t="s">
        <v>7</v>
      </c>
      <c r="I1" s="314" t="s">
        <v>8</v>
      </c>
      <c r="J1" s="314" t="s">
        <v>9</v>
      </c>
      <c r="K1" s="314" t="s">
        <v>10</v>
      </c>
      <c r="L1" s="313" t="s">
        <v>11</v>
      </c>
      <c r="M1" s="324" t="s">
        <v>12</v>
      </c>
    </row>
    <row r="2" ht="17.25" spans="1:13">
      <c r="A2" s="315"/>
      <c r="B2" s="316" t="s">
        <v>175</v>
      </c>
      <c r="C2" s="316" t="s">
        <v>176</v>
      </c>
      <c r="D2" s="317" t="s">
        <v>177</v>
      </c>
      <c r="E2" s="318" t="s">
        <v>178</v>
      </c>
      <c r="F2" s="318" t="s">
        <v>179</v>
      </c>
      <c r="G2" s="319" t="s">
        <v>19</v>
      </c>
      <c r="H2" s="320" t="s">
        <v>56</v>
      </c>
      <c r="I2" s="320">
        <v>2025.12</v>
      </c>
      <c r="J2" s="320" t="s">
        <v>180</v>
      </c>
      <c r="K2" s="325" t="s">
        <v>181</v>
      </c>
      <c r="L2" s="318" t="s">
        <v>23</v>
      </c>
      <c r="M2" s="317" t="s">
        <v>182</v>
      </c>
    </row>
    <row r="3" ht="34.5" spans="1:13">
      <c r="A3" s="315"/>
      <c r="B3" s="321"/>
      <c r="C3" s="316"/>
      <c r="D3" s="317" t="s">
        <v>183</v>
      </c>
      <c r="E3" s="318" t="s">
        <v>184</v>
      </c>
      <c r="F3" s="318" t="s">
        <v>179</v>
      </c>
      <c r="G3" s="319" t="s">
        <v>19</v>
      </c>
      <c r="H3" s="320" t="s">
        <v>56</v>
      </c>
      <c r="I3" s="320">
        <v>2025.12</v>
      </c>
      <c r="J3" s="320" t="s">
        <v>180</v>
      </c>
      <c r="K3" s="325" t="s">
        <v>185</v>
      </c>
      <c r="L3" s="318" t="s">
        <v>23</v>
      </c>
      <c r="M3" s="317"/>
    </row>
    <row r="4" ht="17.25" spans="1:13">
      <c r="A4" s="315"/>
      <c r="B4" s="316" t="s">
        <v>186</v>
      </c>
      <c r="C4" s="316" t="s">
        <v>186</v>
      </c>
      <c r="D4" s="317" t="s">
        <v>187</v>
      </c>
      <c r="E4" s="318" t="s">
        <v>188</v>
      </c>
      <c r="F4" s="318" t="s">
        <v>179</v>
      </c>
      <c r="G4" s="319" t="s">
        <v>157</v>
      </c>
      <c r="H4" s="320" t="s">
        <v>26</v>
      </c>
      <c r="I4" s="320">
        <v>2023.12</v>
      </c>
      <c r="J4" s="320" t="s">
        <v>189</v>
      </c>
      <c r="K4" s="325" t="s">
        <v>28</v>
      </c>
      <c r="L4" s="318" t="s">
        <v>23</v>
      </c>
      <c r="M4" s="318"/>
    </row>
    <row r="5" ht="17.25" spans="1:13">
      <c r="A5" s="315"/>
      <c r="B5" s="316"/>
      <c r="C5" s="316"/>
      <c r="D5" s="317" t="s">
        <v>190</v>
      </c>
      <c r="E5" s="318" t="s">
        <v>191</v>
      </c>
      <c r="F5" s="318" t="s">
        <v>179</v>
      </c>
      <c r="G5" s="319" t="s">
        <v>157</v>
      </c>
      <c r="H5" s="320" t="s">
        <v>26</v>
      </c>
      <c r="I5" s="320">
        <v>2023.12</v>
      </c>
      <c r="J5" s="320" t="s">
        <v>189</v>
      </c>
      <c r="K5" s="325"/>
      <c r="L5" s="318" t="s">
        <v>23</v>
      </c>
      <c r="M5" s="318"/>
    </row>
    <row r="6" ht="17.25" spans="1:13">
      <c r="A6" s="315"/>
      <c r="B6" s="316"/>
      <c r="C6" s="316"/>
      <c r="D6" s="317" t="s">
        <v>192</v>
      </c>
      <c r="E6" s="318" t="s">
        <v>193</v>
      </c>
      <c r="F6" s="318" t="s">
        <v>179</v>
      </c>
      <c r="G6" s="319" t="s">
        <v>19</v>
      </c>
      <c r="H6" s="320" t="s">
        <v>20</v>
      </c>
      <c r="I6" s="320">
        <v>2024.12</v>
      </c>
      <c r="J6" s="320" t="s">
        <v>189</v>
      </c>
      <c r="K6" s="325" t="s">
        <v>194</v>
      </c>
      <c r="L6" s="318" t="s">
        <v>23</v>
      </c>
      <c r="M6" s="318"/>
    </row>
    <row r="7" ht="17.25" spans="1:13">
      <c r="A7" s="315"/>
      <c r="B7" s="316"/>
      <c r="C7" s="316"/>
      <c r="D7" s="317" t="s">
        <v>195</v>
      </c>
      <c r="E7" s="318" t="s">
        <v>196</v>
      </c>
      <c r="F7" s="318" t="s">
        <v>179</v>
      </c>
      <c r="G7" s="319" t="s">
        <v>19</v>
      </c>
      <c r="H7" s="320" t="s">
        <v>20</v>
      </c>
      <c r="I7" s="320">
        <v>2024.12</v>
      </c>
      <c r="J7" s="320" t="s">
        <v>189</v>
      </c>
      <c r="K7" s="325"/>
      <c r="L7" s="318" t="s">
        <v>23</v>
      </c>
      <c r="M7" s="318"/>
    </row>
    <row r="8" ht="17.25" spans="1:13">
      <c r="A8" s="315"/>
      <c r="B8" s="316"/>
      <c r="C8" s="316"/>
      <c r="D8" s="317" t="s">
        <v>197</v>
      </c>
      <c r="E8" s="318" t="s">
        <v>198</v>
      </c>
      <c r="F8" s="318" t="s">
        <v>179</v>
      </c>
      <c r="G8" s="319" t="s">
        <v>19</v>
      </c>
      <c r="H8" s="320" t="s">
        <v>20</v>
      </c>
      <c r="I8" s="320">
        <v>2024.12</v>
      </c>
      <c r="J8" s="320" t="s">
        <v>189</v>
      </c>
      <c r="K8" s="325"/>
      <c r="L8" s="318" t="s">
        <v>23</v>
      </c>
      <c r="M8" s="318"/>
    </row>
    <row r="9" ht="17.25" spans="1:13">
      <c r="A9" s="315"/>
      <c r="B9" s="316"/>
      <c r="C9" s="316"/>
      <c r="D9" s="317" t="s">
        <v>199</v>
      </c>
      <c r="E9" s="318" t="s">
        <v>200</v>
      </c>
      <c r="F9" s="318" t="s">
        <v>179</v>
      </c>
      <c r="G9" s="319" t="s">
        <v>19</v>
      </c>
      <c r="H9" s="320" t="s">
        <v>20</v>
      </c>
      <c r="I9" s="320">
        <v>2024.12</v>
      </c>
      <c r="J9" s="320" t="s">
        <v>189</v>
      </c>
      <c r="K9" s="325"/>
      <c r="L9" s="318" t="s">
        <v>23</v>
      </c>
      <c r="M9" s="318"/>
    </row>
    <row r="10" ht="17.25" spans="1:13">
      <c r="A10" s="315"/>
      <c r="B10" s="316"/>
      <c r="C10" s="316"/>
      <c r="D10" s="317" t="s">
        <v>201</v>
      </c>
      <c r="E10" s="318" t="s">
        <v>202</v>
      </c>
      <c r="F10" s="318" t="s">
        <v>179</v>
      </c>
      <c r="G10" s="319" t="s">
        <v>19</v>
      </c>
      <c r="H10" s="320" t="s">
        <v>56</v>
      </c>
      <c r="I10" s="320">
        <v>2025.12</v>
      </c>
      <c r="J10" s="320" t="s">
        <v>180</v>
      </c>
      <c r="K10" s="325" t="s">
        <v>185</v>
      </c>
      <c r="L10" s="318" t="s">
        <v>23</v>
      </c>
      <c r="M10" s="318"/>
    </row>
    <row r="11" ht="17.25" spans="1:13">
      <c r="A11" s="315"/>
      <c r="B11" s="316" t="s">
        <v>203</v>
      </c>
      <c r="C11" s="316" t="s">
        <v>204</v>
      </c>
      <c r="D11" s="317" t="s">
        <v>205</v>
      </c>
      <c r="E11" s="318" t="s">
        <v>206</v>
      </c>
      <c r="F11" s="318" t="s">
        <v>179</v>
      </c>
      <c r="G11" s="319" t="s">
        <v>157</v>
      </c>
      <c r="H11" s="320" t="s">
        <v>26</v>
      </c>
      <c r="I11" s="320">
        <v>2023.12</v>
      </c>
      <c r="J11" s="320" t="s">
        <v>189</v>
      </c>
      <c r="K11" s="325" t="s">
        <v>207</v>
      </c>
      <c r="L11" s="318" t="s">
        <v>23</v>
      </c>
      <c r="M11" s="318"/>
    </row>
    <row r="12" ht="34.5" spans="1:13">
      <c r="A12" s="315"/>
      <c r="B12" s="316"/>
      <c r="C12" s="316"/>
      <c r="D12" s="317" t="s">
        <v>208</v>
      </c>
      <c r="E12" s="318" t="s">
        <v>209</v>
      </c>
      <c r="F12" s="318" t="s">
        <v>179</v>
      </c>
      <c r="G12" s="319" t="s">
        <v>19</v>
      </c>
      <c r="H12" s="320" t="s">
        <v>20</v>
      </c>
      <c r="I12" s="320">
        <v>2024.6</v>
      </c>
      <c r="J12" s="320" t="s">
        <v>189</v>
      </c>
      <c r="K12" s="325" t="s">
        <v>28</v>
      </c>
      <c r="L12" s="318" t="s">
        <v>23</v>
      </c>
      <c r="M12" s="318"/>
    </row>
    <row r="13" ht="17.25" spans="1:13">
      <c r="A13" s="315"/>
      <c r="B13" s="316"/>
      <c r="C13" s="316" t="s">
        <v>210</v>
      </c>
      <c r="D13" s="317" t="s">
        <v>211</v>
      </c>
      <c r="E13" s="318" t="s">
        <v>212</v>
      </c>
      <c r="F13" s="318" t="s">
        <v>179</v>
      </c>
      <c r="G13" s="319" t="s">
        <v>19</v>
      </c>
      <c r="H13" s="320" t="s">
        <v>20</v>
      </c>
      <c r="I13" s="320">
        <v>2024.6</v>
      </c>
      <c r="J13" s="320" t="s">
        <v>189</v>
      </c>
      <c r="K13" s="325" t="s">
        <v>181</v>
      </c>
      <c r="L13" s="318" t="s">
        <v>23</v>
      </c>
      <c r="M13" s="318"/>
    </row>
    <row r="14" ht="34.5" spans="1:13">
      <c r="A14" s="315"/>
      <c r="B14" s="316"/>
      <c r="C14" s="316"/>
      <c r="D14" s="317" t="s">
        <v>213</v>
      </c>
      <c r="E14" s="318" t="s">
        <v>214</v>
      </c>
      <c r="F14" s="318" t="s">
        <v>179</v>
      </c>
      <c r="G14" s="319" t="s">
        <v>19</v>
      </c>
      <c r="H14" s="320" t="s">
        <v>20</v>
      </c>
      <c r="I14" s="320">
        <v>2024.6</v>
      </c>
      <c r="J14" s="320" t="s">
        <v>189</v>
      </c>
      <c r="K14" s="325" t="s">
        <v>185</v>
      </c>
      <c r="L14" s="318" t="s">
        <v>23</v>
      </c>
      <c r="M14" s="318"/>
    </row>
    <row r="15" ht="34.5" spans="1:13">
      <c r="A15" s="315"/>
      <c r="B15" s="316"/>
      <c r="C15" s="316"/>
      <c r="D15" s="317" t="s">
        <v>215</v>
      </c>
      <c r="E15" s="318" t="s">
        <v>216</v>
      </c>
      <c r="F15" s="318" t="s">
        <v>179</v>
      </c>
      <c r="G15" s="319" t="s">
        <v>19</v>
      </c>
      <c r="H15" s="320" t="s">
        <v>20</v>
      </c>
      <c r="I15" s="320">
        <v>2024.12</v>
      </c>
      <c r="J15" s="320" t="s">
        <v>189</v>
      </c>
      <c r="K15" s="325" t="s">
        <v>185</v>
      </c>
      <c r="L15" s="318" t="s">
        <v>23</v>
      </c>
      <c r="M15" s="318"/>
    </row>
    <row r="16" ht="17.25" spans="1:13">
      <c r="A16" s="315"/>
      <c r="B16" s="316"/>
      <c r="C16" s="316"/>
      <c r="D16" s="317" t="s">
        <v>217</v>
      </c>
      <c r="E16" s="318" t="s">
        <v>218</v>
      </c>
      <c r="F16" s="318" t="s">
        <v>179</v>
      </c>
      <c r="G16" s="319" t="s">
        <v>19</v>
      </c>
      <c r="H16" s="320" t="s">
        <v>20</v>
      </c>
      <c r="I16" s="320">
        <v>2024.12</v>
      </c>
      <c r="J16" s="320" t="s">
        <v>189</v>
      </c>
      <c r="K16" s="325" t="s">
        <v>185</v>
      </c>
      <c r="L16" s="318" t="s">
        <v>23</v>
      </c>
      <c r="M16" s="318"/>
    </row>
    <row r="17" ht="17.25" spans="1:13">
      <c r="A17" s="315"/>
      <c r="B17" s="316"/>
      <c r="C17" s="316"/>
      <c r="D17" s="317" t="s">
        <v>219</v>
      </c>
      <c r="E17" s="318" t="s">
        <v>220</v>
      </c>
      <c r="F17" s="318" t="s">
        <v>179</v>
      </c>
      <c r="G17" s="319" t="s">
        <v>19</v>
      </c>
      <c r="H17" s="320" t="s">
        <v>56</v>
      </c>
      <c r="I17" s="320">
        <v>2025.12</v>
      </c>
      <c r="J17" s="320" t="s">
        <v>180</v>
      </c>
      <c r="K17" s="325" t="s">
        <v>185</v>
      </c>
      <c r="L17" s="318" t="s">
        <v>23</v>
      </c>
      <c r="M17" s="318"/>
    </row>
    <row r="18" ht="17.25" spans="1:13">
      <c r="A18" s="315"/>
      <c r="B18" s="316"/>
      <c r="C18" s="316"/>
      <c r="D18" s="317" t="s">
        <v>221</v>
      </c>
      <c r="E18" s="318" t="s">
        <v>222</v>
      </c>
      <c r="F18" s="318" t="s">
        <v>179</v>
      </c>
      <c r="G18" s="319" t="s">
        <v>19</v>
      </c>
      <c r="H18" s="320" t="s">
        <v>56</v>
      </c>
      <c r="I18" s="320">
        <v>2025.12</v>
      </c>
      <c r="J18" s="320" t="s">
        <v>180</v>
      </c>
      <c r="K18" s="325" t="s">
        <v>185</v>
      </c>
      <c r="L18" s="318" t="s">
        <v>23</v>
      </c>
      <c r="M18" s="318"/>
    </row>
    <row r="19" ht="17.25" spans="1:13">
      <c r="A19" s="315"/>
      <c r="B19" s="316" t="s">
        <v>223</v>
      </c>
      <c r="C19" s="316" t="s">
        <v>224</v>
      </c>
      <c r="D19" s="317" t="s">
        <v>225</v>
      </c>
      <c r="E19" s="318" t="s">
        <v>226</v>
      </c>
      <c r="F19" s="318" t="s">
        <v>179</v>
      </c>
      <c r="G19" s="319" t="s">
        <v>19</v>
      </c>
      <c r="H19" s="320" t="s">
        <v>20</v>
      </c>
      <c r="I19" s="320">
        <v>2024.12</v>
      </c>
      <c r="J19" s="320" t="s">
        <v>189</v>
      </c>
      <c r="K19" s="325" t="s">
        <v>185</v>
      </c>
      <c r="L19" s="318" t="s">
        <v>23</v>
      </c>
      <c r="M19" s="318"/>
    </row>
    <row r="20" ht="17.25" spans="1:13">
      <c r="A20" s="315"/>
      <c r="B20" s="316"/>
      <c r="C20" s="316"/>
      <c r="D20" s="317" t="s">
        <v>227</v>
      </c>
      <c r="E20" s="318" t="s">
        <v>226</v>
      </c>
      <c r="F20" s="318" t="s">
        <v>179</v>
      </c>
      <c r="G20" s="319" t="s">
        <v>19</v>
      </c>
      <c r="H20" s="320" t="s">
        <v>20</v>
      </c>
      <c r="I20" s="320">
        <v>2024.12</v>
      </c>
      <c r="J20" s="320" t="s">
        <v>189</v>
      </c>
      <c r="K20" s="325"/>
      <c r="L20" s="318" t="s">
        <v>23</v>
      </c>
      <c r="M20" s="318"/>
    </row>
    <row r="21" ht="17.25" spans="1:13">
      <c r="A21" s="315"/>
      <c r="B21" s="316"/>
      <c r="C21" s="316"/>
      <c r="D21" s="317" t="s">
        <v>228</v>
      </c>
      <c r="E21" s="318" t="s">
        <v>226</v>
      </c>
      <c r="F21" s="318" t="s">
        <v>179</v>
      </c>
      <c r="G21" s="319" t="s">
        <v>19</v>
      </c>
      <c r="H21" s="320" t="s">
        <v>20</v>
      </c>
      <c r="I21" s="320">
        <v>2024.12</v>
      </c>
      <c r="J21" s="320" t="s">
        <v>189</v>
      </c>
      <c r="K21" s="325" t="s">
        <v>185</v>
      </c>
      <c r="L21" s="318" t="s">
        <v>23</v>
      </c>
      <c r="M21" s="318"/>
    </row>
    <row r="22" ht="34.5" spans="1:13">
      <c r="A22" s="315"/>
      <c r="B22" s="316"/>
      <c r="C22" s="316" t="s">
        <v>229</v>
      </c>
      <c r="D22" s="317" t="s">
        <v>230</v>
      </c>
      <c r="E22" s="318" t="s">
        <v>231</v>
      </c>
      <c r="F22" s="318" t="s">
        <v>179</v>
      </c>
      <c r="G22" s="319" t="s">
        <v>157</v>
      </c>
      <c r="H22" s="320" t="s">
        <v>26</v>
      </c>
      <c r="I22" s="320">
        <v>2023.12</v>
      </c>
      <c r="J22" s="320" t="s">
        <v>189</v>
      </c>
      <c r="K22" s="325" t="s">
        <v>28</v>
      </c>
      <c r="L22" s="318" t="s">
        <v>23</v>
      </c>
      <c r="M22" s="318"/>
    </row>
    <row r="23" ht="34.5" spans="1:13">
      <c r="A23" s="315"/>
      <c r="B23" s="316"/>
      <c r="C23" s="316"/>
      <c r="D23" s="317" t="s">
        <v>232</v>
      </c>
      <c r="E23" s="318" t="s">
        <v>233</v>
      </c>
      <c r="F23" s="318" t="s">
        <v>179</v>
      </c>
      <c r="G23" s="319" t="s">
        <v>157</v>
      </c>
      <c r="H23" s="320" t="s">
        <v>26</v>
      </c>
      <c r="I23" s="320">
        <v>2023.12</v>
      </c>
      <c r="J23" s="320" t="s">
        <v>189</v>
      </c>
      <c r="K23" s="325"/>
      <c r="L23" s="318" t="s">
        <v>23</v>
      </c>
      <c r="M23" s="318"/>
    </row>
    <row r="24" ht="17.25" spans="1:13">
      <c r="A24" s="315"/>
      <c r="B24" s="316" t="s">
        <v>234</v>
      </c>
      <c r="C24" s="316" t="s">
        <v>235</v>
      </c>
      <c r="D24" s="318" t="s">
        <v>59</v>
      </c>
      <c r="E24" s="318" t="s">
        <v>59</v>
      </c>
      <c r="F24" s="318" t="s">
        <v>236</v>
      </c>
      <c r="G24" s="319" t="s">
        <v>19</v>
      </c>
      <c r="H24" s="320" t="s">
        <v>20</v>
      </c>
      <c r="I24" s="320">
        <v>2024.12</v>
      </c>
      <c r="J24" s="320" t="s">
        <v>189</v>
      </c>
      <c r="K24" s="325" t="s">
        <v>185</v>
      </c>
      <c r="L24" s="318" t="s">
        <v>23</v>
      </c>
      <c r="M24" s="318"/>
    </row>
    <row r="25" ht="17.25" spans="1:13">
      <c r="A25" s="315"/>
      <c r="B25" s="316"/>
      <c r="C25" s="316"/>
      <c r="D25" s="318" t="s">
        <v>53</v>
      </c>
      <c r="E25" s="318" t="s">
        <v>53</v>
      </c>
      <c r="F25" s="318" t="s">
        <v>236</v>
      </c>
      <c r="G25" s="319" t="s">
        <v>19</v>
      </c>
      <c r="H25" s="320" t="s">
        <v>20</v>
      </c>
      <c r="I25" s="320">
        <v>2024.6</v>
      </c>
      <c r="J25" s="320" t="s">
        <v>189</v>
      </c>
      <c r="K25" s="325" t="s">
        <v>185</v>
      </c>
      <c r="L25" s="318" t="s">
        <v>23</v>
      </c>
      <c r="M25" s="318"/>
    </row>
    <row r="26" ht="17.25" spans="1:13">
      <c r="A26" s="315"/>
      <c r="B26" s="316"/>
      <c r="C26" s="316"/>
      <c r="D26" s="318" t="s">
        <v>237</v>
      </c>
      <c r="E26" s="318" t="s">
        <v>238</v>
      </c>
      <c r="F26" s="318" t="s">
        <v>236</v>
      </c>
      <c r="G26" s="319" t="s">
        <v>19</v>
      </c>
      <c r="H26" s="320" t="s">
        <v>56</v>
      </c>
      <c r="I26" s="320">
        <v>2025.12</v>
      </c>
      <c r="J26" s="320" t="s">
        <v>180</v>
      </c>
      <c r="K26" s="325" t="s">
        <v>142</v>
      </c>
      <c r="L26" s="318" t="s">
        <v>23</v>
      </c>
      <c r="M26" s="318"/>
    </row>
    <row r="27" ht="17.25" spans="1:13">
      <c r="A27" s="315"/>
      <c r="B27" s="316"/>
      <c r="C27" s="316"/>
      <c r="D27" s="318" t="s">
        <v>239</v>
      </c>
      <c r="E27" s="318" t="s">
        <v>240</v>
      </c>
      <c r="F27" s="318" t="s">
        <v>236</v>
      </c>
      <c r="G27" s="319" t="s">
        <v>19</v>
      </c>
      <c r="H27" s="320" t="s">
        <v>56</v>
      </c>
      <c r="I27" s="320">
        <v>2025.12</v>
      </c>
      <c r="J27" s="320" t="s">
        <v>180</v>
      </c>
      <c r="K27" s="325" t="s">
        <v>142</v>
      </c>
      <c r="L27" s="318" t="s">
        <v>23</v>
      </c>
      <c r="M27" s="318"/>
    </row>
    <row r="28" ht="17.25" spans="1:13">
      <c r="A28" s="315"/>
      <c r="B28" s="316"/>
      <c r="C28" s="316"/>
      <c r="D28" s="318" t="s">
        <v>241</v>
      </c>
      <c r="E28" s="318" t="s">
        <v>242</v>
      </c>
      <c r="F28" s="318" t="s">
        <v>236</v>
      </c>
      <c r="G28" s="319" t="s">
        <v>19</v>
      </c>
      <c r="H28" s="320" t="s">
        <v>56</v>
      </c>
      <c r="I28" s="320">
        <v>2025.12</v>
      </c>
      <c r="J28" s="320" t="s">
        <v>180</v>
      </c>
      <c r="K28" s="325" t="s">
        <v>243</v>
      </c>
      <c r="L28" s="318" t="s">
        <v>23</v>
      </c>
      <c r="M28" s="318"/>
    </row>
    <row r="29" ht="34.5" spans="1:13">
      <c r="A29" s="315"/>
      <c r="B29" s="316"/>
      <c r="C29" s="316"/>
      <c r="D29" s="318" t="s">
        <v>244</v>
      </c>
      <c r="E29" s="318" t="s">
        <v>245</v>
      </c>
      <c r="F29" s="318" t="s">
        <v>236</v>
      </c>
      <c r="G29" s="319" t="s">
        <v>19</v>
      </c>
      <c r="H29" s="320" t="s">
        <v>56</v>
      </c>
      <c r="I29" s="320">
        <v>2025.12</v>
      </c>
      <c r="J29" s="320" t="s">
        <v>180</v>
      </c>
      <c r="K29" s="325" t="s">
        <v>142</v>
      </c>
      <c r="L29" s="318" t="s">
        <v>23</v>
      </c>
      <c r="M29" s="318"/>
    </row>
    <row r="30" ht="17.25" spans="1:13">
      <c r="A30" s="315"/>
      <c r="B30" s="316"/>
      <c r="C30" s="316" t="s">
        <v>246</v>
      </c>
      <c r="D30" s="317" t="s">
        <v>247</v>
      </c>
      <c r="E30" s="318" t="s">
        <v>248</v>
      </c>
      <c r="F30" s="318" t="s">
        <v>249</v>
      </c>
      <c r="G30" s="319" t="s">
        <v>157</v>
      </c>
      <c r="H30" s="320" t="s">
        <v>26</v>
      </c>
      <c r="I30" s="320">
        <v>2023.12</v>
      </c>
      <c r="J30" s="320" t="s">
        <v>189</v>
      </c>
      <c r="K30" s="325" t="s">
        <v>158</v>
      </c>
      <c r="L30" s="318" t="s">
        <v>23</v>
      </c>
      <c r="M30" s="318"/>
    </row>
    <row r="31" ht="17.25" spans="1:13">
      <c r="A31" s="315"/>
      <c r="B31" s="316"/>
      <c r="C31" s="316"/>
      <c r="D31" s="317"/>
      <c r="E31" s="318" t="s">
        <v>250</v>
      </c>
      <c r="F31" s="318" t="s">
        <v>249</v>
      </c>
      <c r="G31" s="319" t="s">
        <v>19</v>
      </c>
      <c r="H31" s="320" t="s">
        <v>26</v>
      </c>
      <c r="I31" s="320">
        <v>2023.12</v>
      </c>
      <c r="J31" s="320" t="s">
        <v>189</v>
      </c>
      <c r="K31" s="325" t="s">
        <v>185</v>
      </c>
      <c r="L31" s="318" t="s">
        <v>23</v>
      </c>
      <c r="M31" s="318"/>
    </row>
    <row r="32" s="308" customFormat="1" ht="17.25" spans="1:13">
      <c r="A32" s="315"/>
      <c r="B32" s="316"/>
      <c r="C32" s="316"/>
      <c r="D32" s="317"/>
      <c r="E32" s="318" t="s">
        <v>251</v>
      </c>
      <c r="F32" s="318" t="s">
        <v>249</v>
      </c>
      <c r="G32" s="319" t="s">
        <v>19</v>
      </c>
      <c r="H32" s="320" t="s">
        <v>56</v>
      </c>
      <c r="I32" s="320">
        <v>2025.12</v>
      </c>
      <c r="J32" s="320" t="s">
        <v>180</v>
      </c>
      <c r="K32" s="325" t="s">
        <v>181</v>
      </c>
      <c r="L32" s="318" t="s">
        <v>23</v>
      </c>
      <c r="M32" s="326"/>
    </row>
    <row r="33" ht="17.25" spans="1:13">
      <c r="A33" s="315"/>
      <c r="B33" s="316"/>
      <c r="C33" s="316"/>
      <c r="D33" s="317" t="s">
        <v>59</v>
      </c>
      <c r="E33" s="318" t="s">
        <v>252</v>
      </c>
      <c r="F33" s="318" t="s">
        <v>249</v>
      </c>
      <c r="G33" s="319" t="s">
        <v>19</v>
      </c>
      <c r="H33" s="320" t="s">
        <v>20</v>
      </c>
      <c r="I33" s="320">
        <v>2024.6</v>
      </c>
      <c r="J33" s="320" t="s">
        <v>189</v>
      </c>
      <c r="K33" s="325" t="s">
        <v>185</v>
      </c>
      <c r="L33" s="318" t="s">
        <v>23</v>
      </c>
      <c r="M33" s="318"/>
    </row>
    <row r="34" ht="17.25" spans="1:13">
      <c r="A34" s="315"/>
      <c r="B34" s="316"/>
      <c r="C34" s="316"/>
      <c r="D34" s="317" t="s">
        <v>253</v>
      </c>
      <c r="E34" s="318" t="s">
        <v>253</v>
      </c>
      <c r="F34" s="318" t="s">
        <v>249</v>
      </c>
      <c r="G34" s="319" t="s">
        <v>19</v>
      </c>
      <c r="H34" s="320" t="s">
        <v>26</v>
      </c>
      <c r="I34" s="320">
        <v>2023.12</v>
      </c>
      <c r="J34" s="320" t="s">
        <v>189</v>
      </c>
      <c r="K34" s="325" t="s">
        <v>28</v>
      </c>
      <c r="L34" s="318" t="s">
        <v>23</v>
      </c>
      <c r="M34" s="318"/>
    </row>
    <row r="35" ht="69" spans="1:13">
      <c r="A35" s="315"/>
      <c r="B35" s="316"/>
      <c r="C35" s="316" t="s">
        <v>254</v>
      </c>
      <c r="D35" s="317" t="s">
        <v>255</v>
      </c>
      <c r="E35" s="318" t="s">
        <v>256</v>
      </c>
      <c r="F35" s="318" t="s">
        <v>249</v>
      </c>
      <c r="G35" s="319" t="s">
        <v>19</v>
      </c>
      <c r="H35" s="320" t="s">
        <v>56</v>
      </c>
      <c r="I35" s="320">
        <v>2025.12</v>
      </c>
      <c r="J35" s="320" t="s">
        <v>180</v>
      </c>
      <c r="K35" s="325" t="s">
        <v>257</v>
      </c>
      <c r="L35" s="318" t="s">
        <v>23</v>
      </c>
      <c r="M35" s="318" t="s">
        <v>258</v>
      </c>
    </row>
    <row r="36" ht="17.25" spans="1:13">
      <c r="A36" s="315"/>
      <c r="B36" s="316" t="s">
        <v>259</v>
      </c>
      <c r="C36" s="316" t="s">
        <v>259</v>
      </c>
      <c r="D36" s="317" t="s">
        <v>260</v>
      </c>
      <c r="E36" s="318" t="s">
        <v>261</v>
      </c>
      <c r="F36" s="318" t="s">
        <v>179</v>
      </c>
      <c r="G36" s="319" t="s">
        <v>157</v>
      </c>
      <c r="H36" s="320" t="s">
        <v>26</v>
      </c>
      <c r="I36" s="320">
        <v>2023.12</v>
      </c>
      <c r="J36" s="320" t="s">
        <v>189</v>
      </c>
      <c r="K36" s="325" t="s">
        <v>207</v>
      </c>
      <c r="L36" s="318" t="s">
        <v>23</v>
      </c>
      <c r="M36" s="318"/>
    </row>
    <row r="37" ht="17.25" spans="1:13">
      <c r="A37" s="315"/>
      <c r="B37" s="316"/>
      <c r="C37" s="316"/>
      <c r="D37" s="317"/>
      <c r="E37" s="318" t="s">
        <v>262</v>
      </c>
      <c r="F37" s="318" t="s">
        <v>179</v>
      </c>
      <c r="G37" s="319" t="s">
        <v>19</v>
      </c>
      <c r="H37" s="320" t="s">
        <v>20</v>
      </c>
      <c r="I37" s="320">
        <v>2024.6</v>
      </c>
      <c r="J37" s="320" t="s">
        <v>189</v>
      </c>
      <c r="K37" s="325" t="s">
        <v>28</v>
      </c>
      <c r="L37" s="318" t="s">
        <v>23</v>
      </c>
      <c r="M37" s="318"/>
    </row>
    <row r="38" ht="17.25" spans="1:13">
      <c r="A38" s="315"/>
      <c r="B38" s="316"/>
      <c r="C38" s="316"/>
      <c r="D38" s="317" t="s">
        <v>263</v>
      </c>
      <c r="E38" s="318" t="s">
        <v>264</v>
      </c>
      <c r="F38" s="318" t="s">
        <v>179</v>
      </c>
      <c r="G38" s="319" t="s">
        <v>157</v>
      </c>
      <c r="H38" s="320" t="s">
        <v>26</v>
      </c>
      <c r="I38" s="320">
        <v>2023.12</v>
      </c>
      <c r="J38" s="320" t="s">
        <v>189</v>
      </c>
      <c r="K38" s="325" t="s">
        <v>207</v>
      </c>
      <c r="L38" s="318" t="s">
        <v>23</v>
      </c>
      <c r="M38" s="318"/>
    </row>
    <row r="39" ht="17.25" spans="1:13">
      <c r="A39" s="315"/>
      <c r="B39" s="316"/>
      <c r="C39" s="316"/>
      <c r="D39" s="317"/>
      <c r="E39" s="318" t="s">
        <v>265</v>
      </c>
      <c r="F39" s="318" t="s">
        <v>179</v>
      </c>
      <c r="G39" s="319" t="s">
        <v>19</v>
      </c>
      <c r="H39" s="320" t="s">
        <v>20</v>
      </c>
      <c r="I39" s="320">
        <v>2024.6</v>
      </c>
      <c r="J39" s="320" t="s">
        <v>189</v>
      </c>
      <c r="K39" s="325" t="s">
        <v>28</v>
      </c>
      <c r="L39" s="318" t="s">
        <v>23</v>
      </c>
      <c r="M39" s="318"/>
    </row>
    <row r="40" ht="17.25" spans="1:13">
      <c r="A40" s="315"/>
      <c r="B40" s="316"/>
      <c r="C40" s="316"/>
      <c r="D40" s="317"/>
      <c r="E40" s="318" t="s">
        <v>266</v>
      </c>
      <c r="F40" s="318" t="s">
        <v>179</v>
      </c>
      <c r="G40" s="319" t="s">
        <v>19</v>
      </c>
      <c r="H40" s="320" t="s">
        <v>20</v>
      </c>
      <c r="I40" s="320">
        <v>2024.6</v>
      </c>
      <c r="J40" s="320" t="s">
        <v>189</v>
      </c>
      <c r="K40" s="325" t="s">
        <v>28</v>
      </c>
      <c r="L40" s="318" t="s">
        <v>23</v>
      </c>
      <c r="M40" s="318"/>
    </row>
    <row r="41" ht="17.25" spans="1:13">
      <c r="A41" s="315"/>
      <c r="B41" s="316" t="s">
        <v>267</v>
      </c>
      <c r="C41" s="316" t="s">
        <v>268</v>
      </c>
      <c r="D41" s="317" t="s">
        <v>269</v>
      </c>
      <c r="E41" s="318" t="s">
        <v>270</v>
      </c>
      <c r="F41" s="318" t="s">
        <v>179</v>
      </c>
      <c r="G41" s="319" t="s">
        <v>157</v>
      </c>
      <c r="H41" s="320" t="s">
        <v>20</v>
      </c>
      <c r="I41" s="320">
        <v>2024.6</v>
      </c>
      <c r="J41" s="320" t="s">
        <v>189</v>
      </c>
      <c r="K41" s="325" t="s">
        <v>185</v>
      </c>
      <c r="L41" s="318" t="s">
        <v>23</v>
      </c>
      <c r="M41" s="318"/>
    </row>
    <row r="42" ht="17.25" spans="1:13">
      <c r="A42" s="315"/>
      <c r="B42" s="316"/>
      <c r="C42" s="316"/>
      <c r="D42" s="317" t="s">
        <v>271</v>
      </c>
      <c r="E42" s="318" t="s">
        <v>272</v>
      </c>
      <c r="F42" s="318" t="s">
        <v>179</v>
      </c>
      <c r="G42" s="319" t="s">
        <v>19</v>
      </c>
      <c r="H42" s="320" t="s">
        <v>20</v>
      </c>
      <c r="I42" s="320">
        <v>2024.6</v>
      </c>
      <c r="J42" s="320" t="s">
        <v>189</v>
      </c>
      <c r="K42" s="325" t="s">
        <v>185</v>
      </c>
      <c r="L42" s="318" t="s">
        <v>23</v>
      </c>
      <c r="M42" s="318"/>
    </row>
    <row r="43" ht="17.25" spans="1:13">
      <c r="A43" s="315"/>
      <c r="B43" s="316"/>
      <c r="C43" s="316"/>
      <c r="D43" s="317" t="s">
        <v>273</v>
      </c>
      <c r="E43" s="318" t="s">
        <v>274</v>
      </c>
      <c r="F43" s="318" t="s">
        <v>179</v>
      </c>
      <c r="G43" s="319" t="s">
        <v>19</v>
      </c>
      <c r="H43" s="320" t="s">
        <v>56</v>
      </c>
      <c r="I43" s="320">
        <v>2025.12</v>
      </c>
      <c r="J43" s="320" t="s">
        <v>180</v>
      </c>
      <c r="K43" s="325" t="s">
        <v>185</v>
      </c>
      <c r="L43" s="318" t="s">
        <v>23</v>
      </c>
      <c r="M43" s="318"/>
    </row>
    <row r="44" ht="17.25" spans="7:11">
      <c r="G44" s="322"/>
      <c r="H44" s="322"/>
      <c r="I44" s="322"/>
      <c r="J44" s="322"/>
      <c r="K44" s="322"/>
    </row>
    <row r="45" ht="35" customHeight="1" spans="3:11">
      <c r="C45" s="323" t="s">
        <v>275</v>
      </c>
      <c r="D45" s="323"/>
      <c r="E45" s="323"/>
      <c r="F45" s="323"/>
      <c r="G45" s="322"/>
      <c r="H45" s="322"/>
      <c r="I45" s="322"/>
      <c r="J45" s="322"/>
      <c r="K45" s="322"/>
    </row>
    <row r="46" ht="17.25" spans="7:11">
      <c r="G46" s="322"/>
      <c r="H46" s="322"/>
      <c r="I46" s="322"/>
      <c r="J46" s="322"/>
      <c r="K46" s="322"/>
    </row>
    <row r="47" ht="17.25" spans="7:11">
      <c r="G47" s="322"/>
      <c r="H47" s="320" t="s">
        <v>26</v>
      </c>
      <c r="I47" s="322"/>
      <c r="J47" s="322"/>
      <c r="K47" s="322" t="s">
        <v>276</v>
      </c>
    </row>
    <row r="48" ht="17.25" spans="5:11">
      <c r="E48" s="309" t="s">
        <v>277</v>
      </c>
      <c r="G48" s="322"/>
      <c r="H48" s="320" t="s">
        <v>20</v>
      </c>
      <c r="I48" s="322"/>
      <c r="J48" s="322"/>
      <c r="K48" s="322" t="s">
        <v>278</v>
      </c>
    </row>
    <row r="49" ht="17.25" spans="7:11">
      <c r="G49" s="322"/>
      <c r="H49" s="320" t="s">
        <v>56</v>
      </c>
      <c r="I49" s="322"/>
      <c r="J49" s="322"/>
      <c r="K49" s="322" t="s">
        <v>279</v>
      </c>
    </row>
    <row r="50" ht="17.25" spans="7:11">
      <c r="G50" s="322"/>
      <c r="H50" s="322"/>
      <c r="I50" s="322"/>
      <c r="J50" s="322"/>
      <c r="K50" s="322"/>
    </row>
    <row r="51" ht="17.25" spans="7:11">
      <c r="G51" s="322"/>
      <c r="H51" s="322"/>
      <c r="I51" s="322"/>
      <c r="J51" s="322"/>
      <c r="K51" s="322"/>
    </row>
    <row r="52" ht="17.25" spans="7:11">
      <c r="G52" s="322"/>
      <c r="H52" s="322"/>
      <c r="I52" s="322"/>
      <c r="J52" s="322"/>
      <c r="K52" s="322"/>
    </row>
    <row r="53" ht="17.25" spans="7:11">
      <c r="G53" s="322"/>
      <c r="H53" s="322"/>
      <c r="I53" s="322"/>
      <c r="J53" s="322"/>
      <c r="K53" s="322"/>
    </row>
    <row r="54" ht="17.25" spans="7:11">
      <c r="G54" s="322"/>
      <c r="H54" s="322"/>
      <c r="I54" s="322"/>
      <c r="J54" s="322"/>
      <c r="K54" s="322"/>
    </row>
    <row r="55" ht="17.25" spans="7:11">
      <c r="G55" s="322"/>
      <c r="H55" s="322"/>
      <c r="I55" s="322"/>
      <c r="J55" s="322"/>
      <c r="K55" s="322"/>
    </row>
    <row r="56" ht="17.25" spans="7:11">
      <c r="G56" s="322"/>
      <c r="H56" s="322"/>
      <c r="I56" s="322"/>
      <c r="J56" s="322"/>
      <c r="K56" s="322"/>
    </row>
    <row r="57" ht="17.25" spans="7:11">
      <c r="G57" s="322"/>
      <c r="H57" s="322"/>
      <c r="I57" s="322"/>
      <c r="J57" s="322"/>
      <c r="K57" s="322"/>
    </row>
    <row r="58" ht="17.25" spans="7:11">
      <c r="G58" s="322"/>
      <c r="H58" s="322"/>
      <c r="I58" s="322"/>
      <c r="J58" s="322"/>
      <c r="K58" s="322"/>
    </row>
    <row r="59" ht="17.25" spans="7:11">
      <c r="G59" s="322"/>
      <c r="H59" s="322"/>
      <c r="I59" s="322"/>
      <c r="J59" s="322"/>
      <c r="K59" s="322"/>
    </row>
    <row r="60" ht="17.25" spans="7:11">
      <c r="G60" s="322"/>
      <c r="H60" s="322"/>
      <c r="I60" s="322"/>
      <c r="J60" s="322"/>
      <c r="K60" s="322"/>
    </row>
    <row r="61" ht="17.25" spans="7:11">
      <c r="G61" s="322"/>
      <c r="H61" s="322"/>
      <c r="I61" s="322"/>
      <c r="J61" s="322"/>
      <c r="K61" s="322"/>
    </row>
    <row r="62" ht="17.25" spans="7:11">
      <c r="G62" s="322"/>
      <c r="H62" s="322"/>
      <c r="I62" s="322"/>
      <c r="J62" s="322"/>
      <c r="K62" s="322"/>
    </row>
    <row r="63" ht="17.25" spans="7:11">
      <c r="G63" s="322"/>
      <c r="H63" s="322"/>
      <c r="I63" s="322"/>
      <c r="J63" s="322"/>
      <c r="K63" s="322"/>
    </row>
  </sheetData>
  <autoFilter xmlns:etc="http://www.wps.cn/officeDocument/2017/etCustomData" ref="H1:H63" etc:filterBottomFollowUsedRange="0">
    <extLst/>
  </autoFilter>
  <mergeCells count="27">
    <mergeCell ref="C45:F45"/>
    <mergeCell ref="A2:A43"/>
    <mergeCell ref="B2:B3"/>
    <mergeCell ref="B4:B10"/>
    <mergeCell ref="B11:B18"/>
    <mergeCell ref="B19:B23"/>
    <mergeCell ref="B24:B35"/>
    <mergeCell ref="B36:B40"/>
    <mergeCell ref="B41:B43"/>
    <mergeCell ref="C2:C3"/>
    <mergeCell ref="C4:C10"/>
    <mergeCell ref="C11:C12"/>
    <mergeCell ref="C13:C18"/>
    <mergeCell ref="C19:C21"/>
    <mergeCell ref="C22:C23"/>
    <mergeCell ref="C24:C29"/>
    <mergeCell ref="C30:C34"/>
    <mergeCell ref="C36:C40"/>
    <mergeCell ref="C41:C43"/>
    <mergeCell ref="D30:D32"/>
    <mergeCell ref="D36:D37"/>
    <mergeCell ref="D38:D40"/>
    <mergeCell ref="K4:K5"/>
    <mergeCell ref="K6:K9"/>
    <mergeCell ref="K19:K20"/>
    <mergeCell ref="K22:K23"/>
    <mergeCell ref="M2:M3"/>
  </mergeCells>
  <dataValidations count="2">
    <dataValidation type="list" allowBlank="1" showInputMessage="1" showErrorMessage="1" sqref="H$1:H$1048576">
      <formula1>"2023年度,2024年度,2025年度,已有"</formula1>
    </dataValidation>
    <dataValidation type="list" allowBlank="1" showInputMessage="1" showErrorMessage="1" sqref="J2:J43">
      <formula1>"MxSim.Acoustic V1.0.0,MxSim.Acoustic V2.0.0,MxSim.Acoustic V3.0.0"</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07"/>
  <sheetViews>
    <sheetView zoomScale="70" zoomScaleNormal="70" workbookViewId="0">
      <selection activeCell="D6" sqref="D6:D10"/>
    </sheetView>
  </sheetViews>
  <sheetFormatPr defaultColWidth="9" defaultRowHeight="14.25"/>
  <cols>
    <col min="1" max="1" width="6.84166666666667" style="243" customWidth="1"/>
    <col min="2" max="2" width="13.5083333333333" style="243" customWidth="1"/>
    <col min="3" max="3" width="25.3416666666667" style="243" customWidth="1"/>
    <col min="4" max="4" width="33.3416666666667" style="243" customWidth="1"/>
    <col min="5" max="5" width="50.6333333333333" style="244" customWidth="1"/>
    <col min="6" max="6" width="28.2333333333333" style="243" customWidth="1"/>
    <col min="7" max="7" width="26.6166666666667" style="245" customWidth="1"/>
    <col min="8" max="8" width="11.675" style="243" customWidth="1"/>
    <col min="9" max="9" width="22.0083333333333" style="243" customWidth="1"/>
    <col min="10" max="10" width="18.675" style="243" customWidth="1"/>
    <col min="11" max="11" width="27.5083333333333" style="243" customWidth="1"/>
    <col min="12" max="12" width="27.35" style="243" customWidth="1"/>
    <col min="13" max="13" width="13.3416666666667" style="243" customWidth="1"/>
    <col min="14" max="28" width="9" style="241"/>
    <col min="29" max="29" width="9" style="246"/>
    <col min="30" max="16384" width="9" style="243"/>
  </cols>
  <sheetData>
    <row r="1" ht="66" spans="1:13">
      <c r="A1" s="247" t="s">
        <v>0</v>
      </c>
      <c r="B1" s="247" t="s">
        <v>1</v>
      </c>
      <c r="C1" s="247" t="s">
        <v>2</v>
      </c>
      <c r="D1" s="248" t="s">
        <v>3</v>
      </c>
      <c r="E1" s="248" t="s">
        <v>280</v>
      </c>
      <c r="F1" s="248" t="s">
        <v>281</v>
      </c>
      <c r="G1" s="249" t="s">
        <v>6</v>
      </c>
      <c r="H1" s="247" t="s">
        <v>7</v>
      </c>
      <c r="I1" s="247" t="s">
        <v>8</v>
      </c>
      <c r="J1" s="247" t="s">
        <v>9</v>
      </c>
      <c r="K1" s="248" t="s">
        <v>10</v>
      </c>
      <c r="L1" s="248" t="s">
        <v>282</v>
      </c>
      <c r="M1" s="247" t="s">
        <v>12</v>
      </c>
    </row>
    <row r="2" ht="33" spans="1:13">
      <c r="A2" s="250" t="s">
        <v>283</v>
      </c>
      <c r="B2" s="251" t="s">
        <v>175</v>
      </c>
      <c r="C2" s="251" t="s">
        <v>284</v>
      </c>
      <c r="D2" s="252" t="s">
        <v>285</v>
      </c>
      <c r="E2" s="252" t="s">
        <v>286</v>
      </c>
      <c r="F2" s="253" t="s">
        <v>287</v>
      </c>
      <c r="G2" s="254" t="s">
        <v>288</v>
      </c>
      <c r="H2" s="255" t="s">
        <v>26</v>
      </c>
      <c r="I2" s="271">
        <v>45139</v>
      </c>
      <c r="J2" s="255" t="s">
        <v>289</v>
      </c>
      <c r="K2" s="255" t="s">
        <v>158</v>
      </c>
      <c r="L2" s="270" t="s">
        <v>23</v>
      </c>
      <c r="M2" s="272" t="s">
        <v>290</v>
      </c>
    </row>
    <row r="3" ht="39" customHeight="1" spans="1:13">
      <c r="A3" s="256"/>
      <c r="B3" s="251"/>
      <c r="C3" s="251"/>
      <c r="D3" s="252" t="s">
        <v>291</v>
      </c>
      <c r="E3" s="257" t="s">
        <v>292</v>
      </c>
      <c r="F3" s="253" t="s">
        <v>287</v>
      </c>
      <c r="G3" s="254" t="s">
        <v>293</v>
      </c>
      <c r="H3" s="255" t="s">
        <v>26</v>
      </c>
      <c r="I3" s="271">
        <v>45139</v>
      </c>
      <c r="J3" s="255" t="s">
        <v>289</v>
      </c>
      <c r="K3" s="255" t="s">
        <v>158</v>
      </c>
      <c r="L3" s="270" t="s">
        <v>23</v>
      </c>
      <c r="M3" s="273"/>
    </row>
    <row r="4" ht="39" customHeight="1" spans="1:13">
      <c r="A4" s="256"/>
      <c r="B4" s="251"/>
      <c r="C4" s="251"/>
      <c r="D4" s="258" t="s">
        <v>294</v>
      </c>
      <c r="E4" s="258" t="s">
        <v>295</v>
      </c>
      <c r="F4" s="259" t="s">
        <v>296</v>
      </c>
      <c r="G4" s="254" t="s">
        <v>297</v>
      </c>
      <c r="H4" s="255" t="s">
        <v>20</v>
      </c>
      <c r="I4" s="271">
        <v>45627</v>
      </c>
      <c r="J4" s="255" t="s">
        <v>298</v>
      </c>
      <c r="K4" s="255" t="s">
        <v>185</v>
      </c>
      <c r="L4" s="270" t="s">
        <v>23</v>
      </c>
      <c r="M4" s="273"/>
    </row>
    <row r="5" ht="39" customHeight="1" spans="1:13">
      <c r="A5" s="260"/>
      <c r="B5" s="251"/>
      <c r="C5" s="251"/>
      <c r="D5" s="258" t="s">
        <v>299</v>
      </c>
      <c r="E5" s="258" t="s">
        <v>300</v>
      </c>
      <c r="F5" s="259" t="s">
        <v>296</v>
      </c>
      <c r="G5" s="254" t="s">
        <v>301</v>
      </c>
      <c r="H5" s="255" t="s">
        <v>302</v>
      </c>
      <c r="I5" s="271">
        <v>46357</v>
      </c>
      <c r="J5" s="255" t="s">
        <v>303</v>
      </c>
      <c r="K5" s="255" t="s">
        <v>181</v>
      </c>
      <c r="L5" s="270" t="s">
        <v>23</v>
      </c>
      <c r="M5" s="274"/>
    </row>
    <row r="6" ht="22.5" customHeight="1" spans="1:13">
      <c r="A6" s="256" t="s">
        <v>304</v>
      </c>
      <c r="B6" s="261" t="s">
        <v>305</v>
      </c>
      <c r="C6" s="261" t="s">
        <v>306</v>
      </c>
      <c r="D6" s="258" t="s">
        <v>307</v>
      </c>
      <c r="E6" s="258" t="s">
        <v>308</v>
      </c>
      <c r="F6" s="259" t="s">
        <v>287</v>
      </c>
      <c r="G6" s="254" t="s">
        <v>309</v>
      </c>
      <c r="H6" s="255" t="s">
        <v>310</v>
      </c>
      <c r="I6" s="255" t="s">
        <v>311</v>
      </c>
      <c r="J6" s="255" t="s">
        <v>289</v>
      </c>
      <c r="K6" s="255" t="s">
        <v>311</v>
      </c>
      <c r="L6" s="270" t="s">
        <v>23</v>
      </c>
      <c r="M6" s="255"/>
    </row>
    <row r="7" ht="22.5" customHeight="1" spans="1:13">
      <c r="A7" s="256"/>
      <c r="B7" s="262"/>
      <c r="C7" s="262"/>
      <c r="D7" s="251"/>
      <c r="E7" s="258" t="s">
        <v>312</v>
      </c>
      <c r="F7" s="259" t="s">
        <v>287</v>
      </c>
      <c r="G7" s="254" t="s">
        <v>309</v>
      </c>
      <c r="H7" s="255" t="s">
        <v>310</v>
      </c>
      <c r="I7" s="255" t="s">
        <v>311</v>
      </c>
      <c r="J7" s="255" t="s">
        <v>289</v>
      </c>
      <c r="K7" s="255" t="s">
        <v>311</v>
      </c>
      <c r="L7" s="270" t="s">
        <v>23</v>
      </c>
      <c r="M7" s="255"/>
    </row>
    <row r="8" ht="22.5" customHeight="1" spans="1:13">
      <c r="A8" s="256"/>
      <c r="B8" s="262"/>
      <c r="C8" s="262"/>
      <c r="D8" s="251"/>
      <c r="E8" s="258" t="s">
        <v>313</v>
      </c>
      <c r="F8" s="259" t="s">
        <v>287</v>
      </c>
      <c r="G8" s="263" t="s">
        <v>309</v>
      </c>
      <c r="H8" s="255" t="s">
        <v>310</v>
      </c>
      <c r="I8" s="255" t="s">
        <v>311</v>
      </c>
      <c r="J8" s="255" t="s">
        <v>289</v>
      </c>
      <c r="K8" s="275" t="s">
        <v>311</v>
      </c>
      <c r="L8" s="270" t="s">
        <v>23</v>
      </c>
      <c r="M8" s="255"/>
    </row>
    <row r="9" ht="22.5" customHeight="1" spans="1:13">
      <c r="A9" s="256"/>
      <c r="B9" s="262"/>
      <c r="C9" s="262"/>
      <c r="D9" s="251"/>
      <c r="E9" s="258" t="s">
        <v>314</v>
      </c>
      <c r="F9" s="259" t="s">
        <v>287</v>
      </c>
      <c r="G9" s="263" t="s">
        <v>19</v>
      </c>
      <c r="H9" s="255" t="s">
        <v>20</v>
      </c>
      <c r="I9" s="271">
        <v>45413</v>
      </c>
      <c r="J9" s="255" t="s">
        <v>298</v>
      </c>
      <c r="K9" s="255" t="s">
        <v>185</v>
      </c>
      <c r="L9" s="270" t="s">
        <v>23</v>
      </c>
      <c r="M9" s="255"/>
    </row>
    <row r="10" ht="22.5" customHeight="1" spans="1:13">
      <c r="A10" s="256"/>
      <c r="B10" s="262"/>
      <c r="C10" s="262"/>
      <c r="D10" s="251"/>
      <c r="E10" s="258" t="s">
        <v>315</v>
      </c>
      <c r="F10" s="259" t="s">
        <v>287</v>
      </c>
      <c r="G10" s="263" t="s">
        <v>19</v>
      </c>
      <c r="H10" s="255" t="s">
        <v>20</v>
      </c>
      <c r="I10" s="271">
        <v>45627</v>
      </c>
      <c r="J10" s="255" t="s">
        <v>298</v>
      </c>
      <c r="K10" s="255" t="s">
        <v>185</v>
      </c>
      <c r="L10" s="270" t="s">
        <v>23</v>
      </c>
      <c r="M10" s="255"/>
    </row>
    <row r="11" ht="22.5" customHeight="1" spans="1:13">
      <c r="A11" s="256"/>
      <c r="B11" s="262"/>
      <c r="C11" s="262"/>
      <c r="D11" s="258" t="s">
        <v>316</v>
      </c>
      <c r="E11" s="258" t="s">
        <v>308</v>
      </c>
      <c r="F11" s="259" t="s">
        <v>287</v>
      </c>
      <c r="G11" s="254" t="s">
        <v>309</v>
      </c>
      <c r="H11" s="255" t="s">
        <v>310</v>
      </c>
      <c r="I11" s="255" t="s">
        <v>311</v>
      </c>
      <c r="J11" s="255" t="s">
        <v>289</v>
      </c>
      <c r="K11" s="255" t="s">
        <v>311</v>
      </c>
      <c r="L11" s="270" t="s">
        <v>23</v>
      </c>
      <c r="M11" s="255"/>
    </row>
    <row r="12" ht="22.5" customHeight="1" spans="1:13">
      <c r="A12" s="256"/>
      <c r="B12" s="262"/>
      <c r="C12" s="262"/>
      <c r="D12" s="251"/>
      <c r="E12" s="258" t="s">
        <v>312</v>
      </c>
      <c r="F12" s="259" t="s">
        <v>287</v>
      </c>
      <c r="G12" s="254" t="s">
        <v>309</v>
      </c>
      <c r="H12" s="255" t="s">
        <v>20</v>
      </c>
      <c r="I12" s="271">
        <v>45444</v>
      </c>
      <c r="J12" s="255" t="s">
        <v>298</v>
      </c>
      <c r="K12" s="255" t="s">
        <v>185</v>
      </c>
      <c r="L12" s="270" t="s">
        <v>23</v>
      </c>
      <c r="M12" s="255"/>
    </row>
    <row r="13" ht="22.5" customHeight="1" spans="1:13">
      <c r="A13" s="256"/>
      <c r="B13" s="262"/>
      <c r="C13" s="262"/>
      <c r="D13" s="251"/>
      <c r="E13" s="258" t="s">
        <v>317</v>
      </c>
      <c r="F13" s="259" t="s">
        <v>287</v>
      </c>
      <c r="G13" s="254" t="s">
        <v>309</v>
      </c>
      <c r="H13" s="255" t="s">
        <v>310</v>
      </c>
      <c r="I13" s="255" t="s">
        <v>311</v>
      </c>
      <c r="J13" s="255" t="s">
        <v>289</v>
      </c>
      <c r="K13" s="255" t="s">
        <v>311</v>
      </c>
      <c r="L13" s="270" t="s">
        <v>23</v>
      </c>
      <c r="M13" s="255"/>
    </row>
    <row r="14" ht="22.5" customHeight="1" spans="1:13">
      <c r="A14" s="256"/>
      <c r="B14" s="262"/>
      <c r="C14" s="262"/>
      <c r="D14" s="251"/>
      <c r="E14" s="258" t="s">
        <v>318</v>
      </c>
      <c r="F14" s="259" t="s">
        <v>287</v>
      </c>
      <c r="G14" s="254" t="s">
        <v>19</v>
      </c>
      <c r="H14" s="255" t="s">
        <v>20</v>
      </c>
      <c r="I14" s="271">
        <v>45444</v>
      </c>
      <c r="J14" s="255" t="s">
        <v>298</v>
      </c>
      <c r="K14" s="255" t="s">
        <v>185</v>
      </c>
      <c r="L14" s="270" t="s">
        <v>23</v>
      </c>
      <c r="M14" s="255"/>
    </row>
    <row r="15" ht="22.5" customHeight="1" spans="1:13">
      <c r="A15" s="256"/>
      <c r="B15" s="262"/>
      <c r="C15" s="262"/>
      <c r="D15" s="258" t="s">
        <v>319</v>
      </c>
      <c r="E15" s="258"/>
      <c r="F15" s="259" t="s">
        <v>287</v>
      </c>
      <c r="G15" s="254" t="s">
        <v>19</v>
      </c>
      <c r="H15" s="255" t="s">
        <v>20</v>
      </c>
      <c r="I15" s="271">
        <v>45444</v>
      </c>
      <c r="J15" s="255" t="s">
        <v>298</v>
      </c>
      <c r="K15" s="255" t="s">
        <v>185</v>
      </c>
      <c r="L15" s="270" t="s">
        <v>23</v>
      </c>
      <c r="M15" s="255"/>
    </row>
    <row r="16" ht="22.5" customHeight="1" spans="1:13">
      <c r="A16" s="256"/>
      <c r="B16" s="262"/>
      <c r="C16" s="264"/>
      <c r="D16" s="258" t="s">
        <v>320</v>
      </c>
      <c r="E16" s="258" t="s">
        <v>321</v>
      </c>
      <c r="F16" s="259" t="s">
        <v>287</v>
      </c>
      <c r="G16" s="254" t="s">
        <v>19</v>
      </c>
      <c r="H16" s="255" t="s">
        <v>20</v>
      </c>
      <c r="I16" s="271">
        <v>45444</v>
      </c>
      <c r="J16" s="255" t="s">
        <v>298</v>
      </c>
      <c r="K16" s="255" t="s">
        <v>185</v>
      </c>
      <c r="L16" s="270" t="s">
        <v>23</v>
      </c>
      <c r="M16" s="255"/>
    </row>
    <row r="17" ht="22.5" customHeight="1" spans="1:13">
      <c r="A17" s="256"/>
      <c r="B17" s="262"/>
      <c r="C17" s="251" t="s">
        <v>322</v>
      </c>
      <c r="D17" s="258" t="s">
        <v>323</v>
      </c>
      <c r="E17" s="258" t="s">
        <v>308</v>
      </c>
      <c r="F17" s="259" t="s">
        <v>287</v>
      </c>
      <c r="G17" s="263" t="s">
        <v>309</v>
      </c>
      <c r="H17" s="255" t="s">
        <v>310</v>
      </c>
      <c r="I17" s="255" t="s">
        <v>311</v>
      </c>
      <c r="J17" s="255" t="s">
        <v>289</v>
      </c>
      <c r="K17" s="255" t="s">
        <v>311</v>
      </c>
      <c r="L17" s="270" t="s">
        <v>23</v>
      </c>
      <c r="M17" s="255"/>
    </row>
    <row r="18" ht="22.5" customHeight="1" spans="1:13">
      <c r="A18" s="256"/>
      <c r="B18" s="262"/>
      <c r="C18" s="251"/>
      <c r="D18" s="251"/>
      <c r="E18" s="258" t="s">
        <v>312</v>
      </c>
      <c r="F18" s="259" t="s">
        <v>287</v>
      </c>
      <c r="G18" s="263" t="s">
        <v>309</v>
      </c>
      <c r="H18" s="255" t="s">
        <v>310</v>
      </c>
      <c r="I18" s="255" t="s">
        <v>311</v>
      </c>
      <c r="J18" s="255" t="s">
        <v>289</v>
      </c>
      <c r="K18" s="255" t="s">
        <v>311</v>
      </c>
      <c r="L18" s="270" t="s">
        <v>23</v>
      </c>
      <c r="M18" s="255"/>
    </row>
    <row r="19" ht="22.5" customHeight="1" spans="1:13">
      <c r="A19" s="256"/>
      <c r="B19" s="262"/>
      <c r="C19" s="251"/>
      <c r="D19" s="251"/>
      <c r="E19" s="258" t="s">
        <v>324</v>
      </c>
      <c r="F19" s="259" t="s">
        <v>287</v>
      </c>
      <c r="G19" s="263" t="s">
        <v>309</v>
      </c>
      <c r="H19" s="255" t="s">
        <v>310</v>
      </c>
      <c r="I19" s="255" t="s">
        <v>311</v>
      </c>
      <c r="J19" s="255" t="s">
        <v>289</v>
      </c>
      <c r="K19" s="255" t="s">
        <v>311</v>
      </c>
      <c r="L19" s="270" t="s">
        <v>23</v>
      </c>
      <c r="M19" s="255"/>
    </row>
    <row r="20" ht="22.5" customHeight="1" spans="1:13">
      <c r="A20" s="256"/>
      <c r="B20" s="262"/>
      <c r="C20" s="251"/>
      <c r="D20" s="251"/>
      <c r="E20" s="258" t="s">
        <v>325</v>
      </c>
      <c r="F20" s="259" t="s">
        <v>287</v>
      </c>
      <c r="G20" s="263" t="s">
        <v>19</v>
      </c>
      <c r="H20" s="255" t="s">
        <v>26</v>
      </c>
      <c r="I20" s="271">
        <v>45139</v>
      </c>
      <c r="J20" s="255" t="s">
        <v>289</v>
      </c>
      <c r="K20" s="255" t="s">
        <v>185</v>
      </c>
      <c r="L20" s="270" t="s">
        <v>23</v>
      </c>
      <c r="M20" s="255"/>
    </row>
    <row r="21" ht="22.5" customHeight="1" spans="1:13">
      <c r="A21" s="256"/>
      <c r="B21" s="262"/>
      <c r="C21" s="251"/>
      <c r="D21" s="251"/>
      <c r="E21" s="258" t="s">
        <v>326</v>
      </c>
      <c r="F21" s="259" t="s">
        <v>287</v>
      </c>
      <c r="G21" s="263" t="s">
        <v>19</v>
      </c>
      <c r="H21" s="255" t="s">
        <v>26</v>
      </c>
      <c r="I21" s="271">
        <v>45170</v>
      </c>
      <c r="J21" s="255" t="s">
        <v>289</v>
      </c>
      <c r="K21" s="255" t="s">
        <v>185</v>
      </c>
      <c r="L21" s="270" t="s">
        <v>23</v>
      </c>
      <c r="M21" s="255"/>
    </row>
    <row r="22" ht="22.5" customHeight="1" spans="1:13">
      <c r="A22" s="256"/>
      <c r="B22" s="262"/>
      <c r="C22" s="251"/>
      <c r="D22" s="258" t="s">
        <v>327</v>
      </c>
      <c r="E22" s="258"/>
      <c r="F22" s="259" t="s">
        <v>287</v>
      </c>
      <c r="G22" s="263" t="s">
        <v>19</v>
      </c>
      <c r="H22" s="255" t="s">
        <v>20</v>
      </c>
      <c r="I22" s="271">
        <v>45474</v>
      </c>
      <c r="J22" s="255" t="s">
        <v>298</v>
      </c>
      <c r="K22" s="255" t="s">
        <v>185</v>
      </c>
      <c r="L22" s="270" t="s">
        <v>23</v>
      </c>
      <c r="M22" s="255"/>
    </row>
    <row r="23" ht="22.5" customHeight="1" spans="1:13">
      <c r="A23" s="256"/>
      <c r="B23" s="262"/>
      <c r="C23" s="251"/>
      <c r="D23" s="258" t="s">
        <v>328</v>
      </c>
      <c r="E23" s="258" t="s">
        <v>329</v>
      </c>
      <c r="F23" s="259" t="s">
        <v>287</v>
      </c>
      <c r="G23" s="263" t="s">
        <v>19</v>
      </c>
      <c r="H23" s="255" t="s">
        <v>20</v>
      </c>
      <c r="I23" s="271">
        <v>45474</v>
      </c>
      <c r="J23" s="255" t="s">
        <v>298</v>
      </c>
      <c r="K23" s="255" t="s">
        <v>185</v>
      </c>
      <c r="L23" s="270" t="s">
        <v>23</v>
      </c>
      <c r="M23" s="255"/>
    </row>
    <row r="24" ht="22.5" customHeight="1" spans="1:13">
      <c r="A24" s="256"/>
      <c r="B24" s="262"/>
      <c r="C24" s="251"/>
      <c r="D24" s="258" t="s">
        <v>330</v>
      </c>
      <c r="E24" s="258" t="s">
        <v>331</v>
      </c>
      <c r="F24" s="259" t="s">
        <v>287</v>
      </c>
      <c r="G24" s="263" t="s">
        <v>19</v>
      </c>
      <c r="H24" s="255" t="s">
        <v>20</v>
      </c>
      <c r="I24" s="271">
        <v>45474</v>
      </c>
      <c r="J24" s="255" t="s">
        <v>298</v>
      </c>
      <c r="K24" s="255" t="s">
        <v>185</v>
      </c>
      <c r="L24" s="270" t="s">
        <v>23</v>
      </c>
      <c r="M24" s="255"/>
    </row>
    <row r="25" ht="22.5" customHeight="1" spans="1:13">
      <c r="A25" s="256"/>
      <c r="B25" s="262"/>
      <c r="C25" s="265" t="s">
        <v>332</v>
      </c>
      <c r="D25" s="266" t="s">
        <v>333</v>
      </c>
      <c r="E25" s="266" t="s">
        <v>334</v>
      </c>
      <c r="F25" s="259" t="s">
        <v>287</v>
      </c>
      <c r="G25" s="263" t="s">
        <v>19</v>
      </c>
      <c r="H25" s="255" t="s">
        <v>20</v>
      </c>
      <c r="I25" s="271">
        <v>45505</v>
      </c>
      <c r="J25" s="255" t="s">
        <v>298</v>
      </c>
      <c r="K25" s="255" t="s">
        <v>185</v>
      </c>
      <c r="L25" s="270" t="s">
        <v>23</v>
      </c>
      <c r="M25" s="255"/>
    </row>
    <row r="26" ht="55.5" customHeight="1" spans="1:13">
      <c r="A26" s="256"/>
      <c r="B26" s="262"/>
      <c r="C26" s="251" t="s">
        <v>335</v>
      </c>
      <c r="D26" s="258" t="s">
        <v>336</v>
      </c>
      <c r="E26" s="258" t="s">
        <v>337</v>
      </c>
      <c r="F26" s="259" t="s">
        <v>287</v>
      </c>
      <c r="G26" s="263" t="s">
        <v>19</v>
      </c>
      <c r="H26" s="255" t="s">
        <v>26</v>
      </c>
      <c r="I26" s="271">
        <v>45231</v>
      </c>
      <c r="J26" s="255" t="s">
        <v>289</v>
      </c>
      <c r="K26" s="255" t="s">
        <v>185</v>
      </c>
      <c r="L26" s="270" t="s">
        <v>23</v>
      </c>
      <c r="M26" s="255"/>
    </row>
    <row r="27" ht="39" customHeight="1" spans="1:13">
      <c r="A27" s="256"/>
      <c r="B27" s="262"/>
      <c r="C27" s="251" t="s">
        <v>338</v>
      </c>
      <c r="D27" s="258" t="s">
        <v>339</v>
      </c>
      <c r="E27" s="258" t="s">
        <v>340</v>
      </c>
      <c r="F27" s="259" t="s">
        <v>287</v>
      </c>
      <c r="G27" s="254" t="s">
        <v>341</v>
      </c>
      <c r="H27" s="255" t="s">
        <v>20</v>
      </c>
      <c r="I27" s="271">
        <v>45536</v>
      </c>
      <c r="J27" s="255" t="s">
        <v>298</v>
      </c>
      <c r="K27" s="255" t="s">
        <v>342</v>
      </c>
      <c r="L27" s="270" t="s">
        <v>23</v>
      </c>
      <c r="M27" s="255"/>
    </row>
    <row r="28" ht="22.5" customHeight="1" spans="1:13">
      <c r="A28" s="256"/>
      <c r="B28" s="262"/>
      <c r="C28" s="261" t="s">
        <v>343</v>
      </c>
      <c r="D28" s="258" t="s">
        <v>344</v>
      </c>
      <c r="E28" s="258" t="s">
        <v>345</v>
      </c>
      <c r="F28" s="259" t="s">
        <v>287</v>
      </c>
      <c r="G28" s="263" t="s">
        <v>19</v>
      </c>
      <c r="H28" s="255" t="s">
        <v>56</v>
      </c>
      <c r="I28" s="271">
        <v>45689</v>
      </c>
      <c r="J28" s="255" t="s">
        <v>346</v>
      </c>
      <c r="K28" s="255" t="s">
        <v>185</v>
      </c>
      <c r="L28" s="270" t="s">
        <v>23</v>
      </c>
      <c r="M28" s="255"/>
    </row>
    <row r="29" ht="22.5" customHeight="1" spans="1:13">
      <c r="A29" s="256"/>
      <c r="B29" s="262"/>
      <c r="C29" s="262"/>
      <c r="D29" s="258" t="s">
        <v>347</v>
      </c>
      <c r="E29" s="258" t="s">
        <v>345</v>
      </c>
      <c r="F29" s="259" t="s">
        <v>287</v>
      </c>
      <c r="G29" s="263" t="s">
        <v>19</v>
      </c>
      <c r="H29" s="255" t="s">
        <v>56</v>
      </c>
      <c r="I29" s="271">
        <v>45689</v>
      </c>
      <c r="J29" s="255" t="s">
        <v>346</v>
      </c>
      <c r="K29" s="255" t="s">
        <v>185</v>
      </c>
      <c r="L29" s="270" t="s">
        <v>23</v>
      </c>
      <c r="M29" s="255"/>
    </row>
    <row r="30" ht="33" spans="1:13">
      <c r="A30" s="256"/>
      <c r="B30" s="262"/>
      <c r="C30" s="261" t="s">
        <v>348</v>
      </c>
      <c r="D30" s="258" t="s">
        <v>349</v>
      </c>
      <c r="E30" s="258" t="s">
        <v>350</v>
      </c>
      <c r="F30" s="259" t="s">
        <v>287</v>
      </c>
      <c r="G30" s="263" t="s">
        <v>351</v>
      </c>
      <c r="H30" s="255" t="s">
        <v>26</v>
      </c>
      <c r="I30" s="271">
        <v>45170</v>
      </c>
      <c r="J30" s="255" t="s">
        <v>289</v>
      </c>
      <c r="K30" s="255" t="s">
        <v>185</v>
      </c>
      <c r="L30" s="270" t="s">
        <v>23</v>
      </c>
      <c r="M30" s="255"/>
    </row>
    <row r="31" ht="22.5" customHeight="1" spans="1:13">
      <c r="A31" s="256"/>
      <c r="B31" s="264"/>
      <c r="C31" s="264"/>
      <c r="D31" s="258" t="s">
        <v>352</v>
      </c>
      <c r="E31" s="258" t="s">
        <v>353</v>
      </c>
      <c r="F31" s="259" t="s">
        <v>287</v>
      </c>
      <c r="G31" s="263" t="s">
        <v>19</v>
      </c>
      <c r="H31" s="255" t="s">
        <v>20</v>
      </c>
      <c r="I31" s="271">
        <v>45627</v>
      </c>
      <c r="J31" s="255" t="s">
        <v>298</v>
      </c>
      <c r="K31" s="255" t="s">
        <v>181</v>
      </c>
      <c r="L31" s="270" t="s">
        <v>23</v>
      </c>
      <c r="M31" s="255"/>
    </row>
    <row r="32" ht="22.5" customHeight="1" spans="1:13">
      <c r="A32" s="256"/>
      <c r="B32" s="251" t="s">
        <v>354</v>
      </c>
      <c r="C32" s="251" t="s">
        <v>355</v>
      </c>
      <c r="D32" s="258" t="s">
        <v>356</v>
      </c>
      <c r="E32" s="258" t="s">
        <v>357</v>
      </c>
      <c r="F32" s="259" t="s">
        <v>287</v>
      </c>
      <c r="G32" s="263" t="s">
        <v>309</v>
      </c>
      <c r="H32" s="255" t="s">
        <v>310</v>
      </c>
      <c r="I32" s="255" t="s">
        <v>311</v>
      </c>
      <c r="J32" s="255" t="s">
        <v>289</v>
      </c>
      <c r="K32" s="255" t="s">
        <v>311</v>
      </c>
      <c r="L32" s="270" t="s">
        <v>23</v>
      </c>
      <c r="M32" s="255"/>
    </row>
    <row r="33" ht="22.5" customHeight="1" spans="1:13">
      <c r="A33" s="256"/>
      <c r="B33" s="251"/>
      <c r="C33" s="251"/>
      <c r="D33" s="258" t="s">
        <v>358</v>
      </c>
      <c r="E33" s="258" t="s">
        <v>359</v>
      </c>
      <c r="F33" s="259" t="s">
        <v>287</v>
      </c>
      <c r="G33" s="263" t="s">
        <v>309</v>
      </c>
      <c r="H33" s="255" t="s">
        <v>26</v>
      </c>
      <c r="I33" s="271">
        <v>45169</v>
      </c>
      <c r="J33" s="255" t="s">
        <v>289</v>
      </c>
      <c r="K33" s="255" t="s">
        <v>28</v>
      </c>
      <c r="L33" s="270" t="s">
        <v>23</v>
      </c>
      <c r="M33" s="255"/>
    </row>
    <row r="34" ht="22.5" customHeight="1" spans="1:13">
      <c r="A34" s="256"/>
      <c r="B34" s="251"/>
      <c r="C34" s="251"/>
      <c r="D34" s="258" t="s">
        <v>360</v>
      </c>
      <c r="E34" s="267" t="s">
        <v>361</v>
      </c>
      <c r="F34" s="259" t="s">
        <v>287</v>
      </c>
      <c r="G34" s="263" t="s">
        <v>19</v>
      </c>
      <c r="H34" s="255" t="s">
        <v>20</v>
      </c>
      <c r="I34" s="271">
        <v>45536</v>
      </c>
      <c r="J34" s="255" t="s">
        <v>298</v>
      </c>
      <c r="K34" s="255" t="s">
        <v>185</v>
      </c>
      <c r="L34" s="270" t="s">
        <v>23</v>
      </c>
      <c r="M34" s="255"/>
    </row>
    <row r="35" ht="22.5" customHeight="1" spans="1:13">
      <c r="A35" s="256"/>
      <c r="B35" s="251"/>
      <c r="C35" s="251"/>
      <c r="D35" s="258" t="s">
        <v>362</v>
      </c>
      <c r="E35" s="267" t="s">
        <v>363</v>
      </c>
      <c r="F35" s="259" t="s">
        <v>287</v>
      </c>
      <c r="G35" s="263" t="s">
        <v>19</v>
      </c>
      <c r="H35" s="255" t="s">
        <v>20</v>
      </c>
      <c r="I35" s="271">
        <v>45627</v>
      </c>
      <c r="J35" s="255" t="s">
        <v>298</v>
      </c>
      <c r="K35" s="255" t="s">
        <v>243</v>
      </c>
      <c r="L35" s="270" t="s">
        <v>23</v>
      </c>
      <c r="M35" s="255"/>
    </row>
    <row r="36" ht="39" customHeight="1" spans="1:13">
      <c r="A36" s="256"/>
      <c r="B36" s="251"/>
      <c r="C36" s="251"/>
      <c r="D36" s="258" t="s">
        <v>208</v>
      </c>
      <c r="E36" s="267" t="s">
        <v>364</v>
      </c>
      <c r="F36" s="259" t="s">
        <v>287</v>
      </c>
      <c r="G36" s="263" t="s">
        <v>19</v>
      </c>
      <c r="H36" s="255" t="s">
        <v>26</v>
      </c>
      <c r="I36" s="271">
        <v>45017</v>
      </c>
      <c r="J36" s="255" t="s">
        <v>289</v>
      </c>
      <c r="K36" s="255" t="s">
        <v>185</v>
      </c>
      <c r="L36" s="270" t="s">
        <v>23</v>
      </c>
      <c r="M36" s="255"/>
    </row>
    <row r="37" ht="22.5" customHeight="1" spans="1:13">
      <c r="A37" s="256"/>
      <c r="B37" s="251"/>
      <c r="C37" s="251"/>
      <c r="D37" s="258" t="s">
        <v>365</v>
      </c>
      <c r="E37" s="267" t="s">
        <v>366</v>
      </c>
      <c r="F37" s="259" t="s">
        <v>287</v>
      </c>
      <c r="G37" s="263" t="s">
        <v>19</v>
      </c>
      <c r="H37" s="255" t="s">
        <v>26</v>
      </c>
      <c r="I37" s="271">
        <v>45047</v>
      </c>
      <c r="J37" s="255" t="s">
        <v>289</v>
      </c>
      <c r="K37" s="255" t="s">
        <v>185</v>
      </c>
      <c r="L37" s="270" t="s">
        <v>23</v>
      </c>
      <c r="M37" s="255"/>
    </row>
    <row r="38" ht="22.5" customHeight="1" spans="1:13">
      <c r="A38" s="256"/>
      <c r="B38" s="251"/>
      <c r="C38" s="251"/>
      <c r="D38" s="258" t="s">
        <v>367</v>
      </c>
      <c r="E38" s="267" t="s">
        <v>368</v>
      </c>
      <c r="F38" s="259" t="s">
        <v>287</v>
      </c>
      <c r="G38" s="263" t="s">
        <v>19</v>
      </c>
      <c r="H38" s="255" t="s">
        <v>310</v>
      </c>
      <c r="I38" s="271" t="s">
        <v>311</v>
      </c>
      <c r="J38" s="255" t="s">
        <v>289</v>
      </c>
      <c r="K38" s="255" t="s">
        <v>311</v>
      </c>
      <c r="L38" s="270" t="s">
        <v>23</v>
      </c>
      <c r="M38" s="255"/>
    </row>
    <row r="39" ht="16.5" spans="1:13">
      <c r="A39" s="256"/>
      <c r="B39" s="251"/>
      <c r="C39" s="251"/>
      <c r="D39" s="258" t="s">
        <v>369</v>
      </c>
      <c r="E39" s="267" t="s">
        <v>370</v>
      </c>
      <c r="F39" s="259" t="s">
        <v>287</v>
      </c>
      <c r="G39" s="263" t="s">
        <v>309</v>
      </c>
      <c r="H39" s="255" t="s">
        <v>310</v>
      </c>
      <c r="I39" s="271" t="s">
        <v>311</v>
      </c>
      <c r="J39" s="255" t="s">
        <v>289</v>
      </c>
      <c r="K39" s="255" t="s">
        <v>311</v>
      </c>
      <c r="L39" s="270" t="s">
        <v>23</v>
      </c>
      <c r="M39" s="255"/>
    </row>
    <row r="40" ht="55.5" customHeight="1" spans="1:13">
      <c r="A40" s="256"/>
      <c r="B40" s="251"/>
      <c r="C40" s="251"/>
      <c r="D40" s="258" t="s">
        <v>371</v>
      </c>
      <c r="E40" s="267" t="s">
        <v>372</v>
      </c>
      <c r="F40" s="259" t="s">
        <v>287</v>
      </c>
      <c r="G40" s="263" t="s">
        <v>309</v>
      </c>
      <c r="H40" s="255" t="s">
        <v>310</v>
      </c>
      <c r="I40" s="271" t="s">
        <v>311</v>
      </c>
      <c r="J40" s="255" t="s">
        <v>289</v>
      </c>
      <c r="K40" s="255" t="s">
        <v>311</v>
      </c>
      <c r="L40" s="270" t="s">
        <v>23</v>
      </c>
      <c r="M40" s="255"/>
    </row>
    <row r="41" ht="22.5" customHeight="1" spans="1:13">
      <c r="A41" s="256"/>
      <c r="B41" s="251" t="s">
        <v>229</v>
      </c>
      <c r="C41" s="251" t="s">
        <v>373</v>
      </c>
      <c r="D41" s="258" t="s">
        <v>374</v>
      </c>
      <c r="E41" s="258" t="s">
        <v>375</v>
      </c>
      <c r="F41" s="259" t="s">
        <v>287</v>
      </c>
      <c r="G41" s="263" t="s">
        <v>309</v>
      </c>
      <c r="H41" s="255" t="s">
        <v>26</v>
      </c>
      <c r="I41" s="271">
        <v>45078</v>
      </c>
      <c r="J41" s="255" t="s">
        <v>289</v>
      </c>
      <c r="K41" s="272" t="s">
        <v>185</v>
      </c>
      <c r="L41" s="270" t="s">
        <v>23</v>
      </c>
      <c r="M41" s="255"/>
    </row>
    <row r="42" ht="22.5" customHeight="1" spans="1:13">
      <c r="A42" s="256"/>
      <c r="B42" s="251"/>
      <c r="C42" s="251"/>
      <c r="D42" s="258" t="s">
        <v>376</v>
      </c>
      <c r="E42" s="258" t="s">
        <v>377</v>
      </c>
      <c r="F42" s="259" t="s">
        <v>287</v>
      </c>
      <c r="G42" s="263" t="s">
        <v>309</v>
      </c>
      <c r="H42" s="255" t="s">
        <v>26</v>
      </c>
      <c r="I42" s="271">
        <v>45078</v>
      </c>
      <c r="J42" s="255" t="s">
        <v>289</v>
      </c>
      <c r="K42" s="274"/>
      <c r="L42" s="270" t="s">
        <v>23</v>
      </c>
      <c r="M42" s="255"/>
    </row>
    <row r="43" ht="39" customHeight="1" spans="1:13">
      <c r="A43" s="256"/>
      <c r="B43" s="251"/>
      <c r="C43" s="251"/>
      <c r="D43" s="258" t="s">
        <v>378</v>
      </c>
      <c r="E43" s="258" t="s">
        <v>379</v>
      </c>
      <c r="F43" s="259" t="s">
        <v>287</v>
      </c>
      <c r="G43" s="263" t="s">
        <v>380</v>
      </c>
      <c r="H43" s="255" t="s">
        <v>310</v>
      </c>
      <c r="I43" s="271" t="s">
        <v>311</v>
      </c>
      <c r="J43" s="255" t="s">
        <v>289</v>
      </c>
      <c r="K43" s="255" t="s">
        <v>311</v>
      </c>
      <c r="L43" s="270" t="s">
        <v>23</v>
      </c>
      <c r="M43" s="255"/>
    </row>
    <row r="44" ht="39" customHeight="1" spans="1:13">
      <c r="A44" s="256"/>
      <c r="B44" s="251"/>
      <c r="C44" s="251"/>
      <c r="D44" s="258" t="s">
        <v>381</v>
      </c>
      <c r="E44" s="258" t="s">
        <v>382</v>
      </c>
      <c r="F44" s="259" t="s">
        <v>287</v>
      </c>
      <c r="G44" s="263" t="s">
        <v>19</v>
      </c>
      <c r="H44" s="255" t="s">
        <v>26</v>
      </c>
      <c r="I44" s="271">
        <v>45047</v>
      </c>
      <c r="J44" s="255" t="s">
        <v>289</v>
      </c>
      <c r="K44" s="255" t="s">
        <v>185</v>
      </c>
      <c r="L44" s="270" t="s">
        <v>23</v>
      </c>
      <c r="M44" s="255"/>
    </row>
    <row r="45" ht="39" customHeight="1" spans="1:13">
      <c r="A45" s="256"/>
      <c r="B45" s="251"/>
      <c r="C45" s="251"/>
      <c r="D45" s="268" t="s">
        <v>383</v>
      </c>
      <c r="E45" s="258" t="s">
        <v>384</v>
      </c>
      <c r="F45" s="259" t="s">
        <v>287</v>
      </c>
      <c r="G45" s="263" t="s">
        <v>309</v>
      </c>
      <c r="H45" s="255" t="s">
        <v>310</v>
      </c>
      <c r="I45" s="271" t="s">
        <v>311</v>
      </c>
      <c r="J45" s="255" t="s">
        <v>289</v>
      </c>
      <c r="K45" s="255" t="s">
        <v>311</v>
      </c>
      <c r="L45" s="270" t="s">
        <v>23</v>
      </c>
      <c r="M45" s="255"/>
    </row>
    <row r="46" ht="39" customHeight="1" spans="1:13">
      <c r="A46" s="256"/>
      <c r="B46" s="251"/>
      <c r="C46" s="251"/>
      <c r="D46" s="269"/>
      <c r="E46" s="258" t="s">
        <v>385</v>
      </c>
      <c r="F46" s="259" t="s">
        <v>386</v>
      </c>
      <c r="G46" s="263" t="s">
        <v>19</v>
      </c>
      <c r="H46" s="255" t="s">
        <v>26</v>
      </c>
      <c r="I46" s="271">
        <v>45078</v>
      </c>
      <c r="J46" s="255" t="s">
        <v>289</v>
      </c>
      <c r="K46" s="255" t="s">
        <v>185</v>
      </c>
      <c r="L46" s="270" t="s">
        <v>23</v>
      </c>
      <c r="M46" s="255"/>
    </row>
    <row r="47" ht="22.5" customHeight="1" spans="1:13">
      <c r="A47" s="256"/>
      <c r="B47" s="251" t="s">
        <v>387</v>
      </c>
      <c r="C47" s="251" t="s">
        <v>388</v>
      </c>
      <c r="D47" s="258" t="s">
        <v>389</v>
      </c>
      <c r="E47" s="258" t="s">
        <v>390</v>
      </c>
      <c r="F47" s="259" t="s">
        <v>287</v>
      </c>
      <c r="G47" s="263" t="s">
        <v>309</v>
      </c>
      <c r="H47" s="255" t="s">
        <v>20</v>
      </c>
      <c r="I47" s="271">
        <v>45444</v>
      </c>
      <c r="J47" s="255" t="s">
        <v>298</v>
      </c>
      <c r="K47" s="272" t="s">
        <v>181</v>
      </c>
      <c r="L47" s="270" t="s">
        <v>23</v>
      </c>
      <c r="M47" s="255"/>
    </row>
    <row r="48" ht="22.5" customHeight="1" spans="1:13">
      <c r="A48" s="256"/>
      <c r="B48" s="251"/>
      <c r="C48" s="251"/>
      <c r="D48" s="258" t="s">
        <v>391</v>
      </c>
      <c r="E48" s="251"/>
      <c r="F48" s="259" t="s">
        <v>287</v>
      </c>
      <c r="G48" s="263" t="s">
        <v>309</v>
      </c>
      <c r="H48" s="255" t="s">
        <v>310</v>
      </c>
      <c r="I48" s="255" t="s">
        <v>311</v>
      </c>
      <c r="J48" s="255" t="s">
        <v>289</v>
      </c>
      <c r="K48" s="273"/>
      <c r="L48" s="270" t="s">
        <v>23</v>
      </c>
      <c r="M48" s="255"/>
    </row>
    <row r="49" ht="22.5" customHeight="1" spans="1:13">
      <c r="A49" s="256"/>
      <c r="B49" s="251"/>
      <c r="C49" s="251"/>
      <c r="D49" s="258" t="s">
        <v>392</v>
      </c>
      <c r="E49" s="258" t="s">
        <v>393</v>
      </c>
      <c r="F49" s="259" t="s">
        <v>287</v>
      </c>
      <c r="G49" s="263" t="s">
        <v>309</v>
      </c>
      <c r="H49" s="255" t="s">
        <v>20</v>
      </c>
      <c r="I49" s="271">
        <v>45444</v>
      </c>
      <c r="J49" s="255" t="s">
        <v>298</v>
      </c>
      <c r="K49" s="273"/>
      <c r="L49" s="270" t="s">
        <v>23</v>
      </c>
      <c r="M49" s="255"/>
    </row>
    <row r="50" ht="22.5" customHeight="1" spans="1:13">
      <c r="A50" s="256"/>
      <c r="B50" s="251"/>
      <c r="C50" s="251"/>
      <c r="D50" s="258" t="s">
        <v>394</v>
      </c>
      <c r="E50" s="251"/>
      <c r="F50" s="259" t="s">
        <v>287</v>
      </c>
      <c r="G50" s="263" t="s">
        <v>309</v>
      </c>
      <c r="H50" s="255" t="s">
        <v>310</v>
      </c>
      <c r="I50" s="255" t="s">
        <v>311</v>
      </c>
      <c r="J50" s="255" t="s">
        <v>289</v>
      </c>
      <c r="K50" s="273"/>
      <c r="L50" s="270" t="s">
        <v>23</v>
      </c>
      <c r="M50" s="255"/>
    </row>
    <row r="51" ht="22.5" customHeight="1" spans="1:13">
      <c r="A51" s="256"/>
      <c r="B51" s="251"/>
      <c r="C51" s="251"/>
      <c r="D51" s="258" t="s">
        <v>395</v>
      </c>
      <c r="E51" s="258" t="s">
        <v>396</v>
      </c>
      <c r="F51" s="259" t="s">
        <v>287</v>
      </c>
      <c r="G51" s="263" t="s">
        <v>309</v>
      </c>
      <c r="H51" s="255" t="s">
        <v>20</v>
      </c>
      <c r="I51" s="271">
        <v>45444</v>
      </c>
      <c r="J51" s="255" t="s">
        <v>298</v>
      </c>
      <c r="K51" s="274"/>
      <c r="L51" s="270" t="s">
        <v>23</v>
      </c>
      <c r="M51" s="255"/>
    </row>
    <row r="52" ht="22.5" customHeight="1" spans="1:13">
      <c r="A52" s="256"/>
      <c r="B52" s="251"/>
      <c r="C52" s="251"/>
      <c r="D52" s="258" t="s">
        <v>397</v>
      </c>
      <c r="E52" s="251"/>
      <c r="F52" s="259" t="s">
        <v>287</v>
      </c>
      <c r="G52" s="263" t="s">
        <v>309</v>
      </c>
      <c r="H52" s="255" t="s">
        <v>310</v>
      </c>
      <c r="I52" s="255" t="s">
        <v>311</v>
      </c>
      <c r="J52" s="255" t="s">
        <v>289</v>
      </c>
      <c r="K52" s="255" t="s">
        <v>311</v>
      </c>
      <c r="L52" s="270" t="s">
        <v>23</v>
      </c>
      <c r="M52" s="255"/>
    </row>
    <row r="53" ht="22.5" customHeight="1" spans="1:13">
      <c r="A53" s="256"/>
      <c r="B53" s="251"/>
      <c r="C53" s="251" t="s">
        <v>398</v>
      </c>
      <c r="D53" s="258" t="s">
        <v>399</v>
      </c>
      <c r="E53" s="258" t="s">
        <v>400</v>
      </c>
      <c r="F53" s="259" t="s">
        <v>287</v>
      </c>
      <c r="G53" s="263" t="s">
        <v>309</v>
      </c>
      <c r="H53" s="255" t="s">
        <v>20</v>
      </c>
      <c r="I53" s="271">
        <v>45444</v>
      </c>
      <c r="J53" s="255" t="s">
        <v>298</v>
      </c>
      <c r="K53" s="272" t="s">
        <v>181</v>
      </c>
      <c r="L53" s="270" t="s">
        <v>23</v>
      </c>
      <c r="M53" s="255"/>
    </row>
    <row r="54" ht="22.5" customHeight="1" spans="1:13">
      <c r="A54" s="256"/>
      <c r="B54" s="251"/>
      <c r="C54" s="251"/>
      <c r="D54" s="258" t="s">
        <v>401</v>
      </c>
      <c r="E54" s="258" t="s">
        <v>402</v>
      </c>
      <c r="F54" s="259" t="s">
        <v>287</v>
      </c>
      <c r="G54" s="263" t="s">
        <v>309</v>
      </c>
      <c r="H54" s="255" t="s">
        <v>310</v>
      </c>
      <c r="I54" s="255" t="s">
        <v>311</v>
      </c>
      <c r="J54" s="255" t="s">
        <v>289</v>
      </c>
      <c r="K54" s="273"/>
      <c r="L54" s="270" t="s">
        <v>23</v>
      </c>
      <c r="M54" s="255"/>
    </row>
    <row r="55" ht="22.5" customHeight="1" spans="1:13">
      <c r="A55" s="256"/>
      <c r="B55" s="251"/>
      <c r="C55" s="251"/>
      <c r="D55" s="258" t="s">
        <v>403</v>
      </c>
      <c r="E55" s="258" t="s">
        <v>404</v>
      </c>
      <c r="F55" s="259" t="s">
        <v>287</v>
      </c>
      <c r="G55" s="263" t="s">
        <v>309</v>
      </c>
      <c r="H55" s="255" t="s">
        <v>20</v>
      </c>
      <c r="I55" s="271">
        <v>45444</v>
      </c>
      <c r="J55" s="255" t="s">
        <v>298</v>
      </c>
      <c r="K55" s="273"/>
      <c r="L55" s="270" t="s">
        <v>23</v>
      </c>
      <c r="M55" s="255"/>
    </row>
    <row r="56" ht="22.5" customHeight="1" spans="1:13">
      <c r="A56" s="256"/>
      <c r="B56" s="251"/>
      <c r="C56" s="251"/>
      <c r="D56" s="258" t="s">
        <v>405</v>
      </c>
      <c r="E56" s="258" t="s">
        <v>406</v>
      </c>
      <c r="F56" s="259" t="s">
        <v>287</v>
      </c>
      <c r="G56" s="263" t="s">
        <v>309</v>
      </c>
      <c r="H56" s="255" t="s">
        <v>20</v>
      </c>
      <c r="I56" s="271">
        <v>45444</v>
      </c>
      <c r="J56" s="255" t="s">
        <v>298</v>
      </c>
      <c r="K56" s="274"/>
      <c r="L56" s="270" t="s">
        <v>23</v>
      </c>
      <c r="M56" s="255"/>
    </row>
    <row r="57" ht="22.5" customHeight="1" spans="1:13">
      <c r="A57" s="256"/>
      <c r="B57" s="251"/>
      <c r="C57" s="251"/>
      <c r="D57" s="258" t="s">
        <v>407</v>
      </c>
      <c r="E57" s="258" t="s">
        <v>408</v>
      </c>
      <c r="F57" s="259" t="s">
        <v>287</v>
      </c>
      <c r="G57" s="263" t="s">
        <v>309</v>
      </c>
      <c r="H57" s="255" t="s">
        <v>310</v>
      </c>
      <c r="I57" s="255" t="s">
        <v>311</v>
      </c>
      <c r="J57" s="255" t="s">
        <v>289</v>
      </c>
      <c r="K57" s="255" t="s">
        <v>311</v>
      </c>
      <c r="L57" s="270" t="s">
        <v>23</v>
      </c>
      <c r="M57" s="255"/>
    </row>
    <row r="58" ht="39" customHeight="1" spans="1:13">
      <c r="A58" s="256"/>
      <c r="B58" s="251"/>
      <c r="C58" s="251"/>
      <c r="D58" s="258" t="s">
        <v>409</v>
      </c>
      <c r="E58" s="258" t="s">
        <v>410</v>
      </c>
      <c r="F58" s="259" t="s">
        <v>287</v>
      </c>
      <c r="G58" s="263" t="s">
        <v>309</v>
      </c>
      <c r="H58" s="255" t="s">
        <v>310</v>
      </c>
      <c r="I58" s="271" t="s">
        <v>311</v>
      </c>
      <c r="J58" s="255" t="s">
        <v>289</v>
      </c>
      <c r="K58" s="255" t="s">
        <v>311</v>
      </c>
      <c r="L58" s="270" t="s">
        <v>23</v>
      </c>
      <c r="M58" s="255"/>
    </row>
    <row r="59" ht="82.5" spans="1:13">
      <c r="A59" s="256"/>
      <c r="B59" s="251"/>
      <c r="C59" s="251" t="s">
        <v>411</v>
      </c>
      <c r="D59" s="252" t="s">
        <v>412</v>
      </c>
      <c r="E59" s="252" t="s">
        <v>413</v>
      </c>
      <c r="F59" s="259" t="s">
        <v>287</v>
      </c>
      <c r="G59" s="263" t="s">
        <v>414</v>
      </c>
      <c r="H59" s="255" t="s">
        <v>310</v>
      </c>
      <c r="I59" s="271" t="s">
        <v>311</v>
      </c>
      <c r="J59" s="255" t="s">
        <v>289</v>
      </c>
      <c r="K59" s="255" t="s">
        <v>311</v>
      </c>
      <c r="L59" s="270" t="s">
        <v>23</v>
      </c>
      <c r="M59" s="255" t="s">
        <v>415</v>
      </c>
    </row>
    <row r="60" ht="22.5" customHeight="1" spans="1:13">
      <c r="A60" s="256"/>
      <c r="B60" s="261" t="s">
        <v>416</v>
      </c>
      <c r="C60" s="261" t="s">
        <v>417</v>
      </c>
      <c r="D60" s="252" t="s">
        <v>418</v>
      </c>
      <c r="E60" s="252" t="s">
        <v>419</v>
      </c>
      <c r="F60" s="259" t="s">
        <v>287</v>
      </c>
      <c r="G60" s="263" t="s">
        <v>309</v>
      </c>
      <c r="H60" s="255" t="s">
        <v>310</v>
      </c>
      <c r="I60" s="255" t="s">
        <v>311</v>
      </c>
      <c r="J60" s="255" t="s">
        <v>289</v>
      </c>
      <c r="K60" s="255" t="s">
        <v>311</v>
      </c>
      <c r="L60" s="270" t="s">
        <v>23</v>
      </c>
      <c r="M60" s="255"/>
    </row>
    <row r="61" ht="22.5" customHeight="1" spans="1:13">
      <c r="A61" s="256"/>
      <c r="B61" s="262"/>
      <c r="C61" s="262"/>
      <c r="D61" s="252" t="s">
        <v>420</v>
      </c>
      <c r="E61" s="252" t="s">
        <v>421</v>
      </c>
      <c r="F61" s="259" t="s">
        <v>311</v>
      </c>
      <c r="G61" s="270" t="s">
        <v>311</v>
      </c>
      <c r="H61" s="255" t="s">
        <v>310</v>
      </c>
      <c r="I61" s="255" t="s">
        <v>311</v>
      </c>
      <c r="J61" s="255" t="s">
        <v>289</v>
      </c>
      <c r="K61" s="255" t="s">
        <v>311</v>
      </c>
      <c r="L61" s="270" t="s">
        <v>23</v>
      </c>
      <c r="M61" s="255"/>
    </row>
    <row r="62" ht="39" customHeight="1" spans="1:13">
      <c r="A62" s="256"/>
      <c r="B62" s="262"/>
      <c r="C62" s="262"/>
      <c r="D62" s="258" t="s">
        <v>422</v>
      </c>
      <c r="E62" s="258" t="s">
        <v>421</v>
      </c>
      <c r="F62" s="258" t="s">
        <v>311</v>
      </c>
      <c r="G62" s="270" t="s">
        <v>311</v>
      </c>
      <c r="H62" s="255" t="s">
        <v>310</v>
      </c>
      <c r="I62" s="255" t="s">
        <v>311</v>
      </c>
      <c r="J62" s="255" t="s">
        <v>289</v>
      </c>
      <c r="K62" s="255" t="s">
        <v>311</v>
      </c>
      <c r="L62" s="270" t="s">
        <v>23</v>
      </c>
      <c r="M62" s="255"/>
    </row>
    <row r="63" ht="39" customHeight="1" spans="1:13">
      <c r="A63" s="256"/>
      <c r="B63" s="264"/>
      <c r="C63" s="264"/>
      <c r="D63" s="258" t="s">
        <v>423</v>
      </c>
      <c r="E63" s="258" t="s">
        <v>424</v>
      </c>
      <c r="F63" s="259" t="s">
        <v>287</v>
      </c>
      <c r="G63" s="263" t="s">
        <v>19</v>
      </c>
      <c r="H63" s="255" t="s">
        <v>20</v>
      </c>
      <c r="I63" s="271">
        <v>45444</v>
      </c>
      <c r="J63" s="255" t="s">
        <v>298</v>
      </c>
      <c r="K63" s="255" t="s">
        <v>243</v>
      </c>
      <c r="L63" s="270" t="s">
        <v>23</v>
      </c>
      <c r="M63" s="255"/>
    </row>
    <row r="64" ht="39" customHeight="1" spans="1:13">
      <c r="A64" s="256"/>
      <c r="B64" s="262" t="s">
        <v>425</v>
      </c>
      <c r="C64" s="264" t="s">
        <v>426</v>
      </c>
      <c r="D64" s="258" t="s">
        <v>427</v>
      </c>
      <c r="E64" s="258" t="s">
        <v>428</v>
      </c>
      <c r="F64" s="259" t="s">
        <v>287</v>
      </c>
      <c r="G64" s="263" t="s">
        <v>19</v>
      </c>
      <c r="H64" s="255" t="s">
        <v>26</v>
      </c>
      <c r="I64" s="271">
        <v>45261</v>
      </c>
      <c r="J64" s="255" t="s">
        <v>289</v>
      </c>
      <c r="K64" s="255" t="s">
        <v>185</v>
      </c>
      <c r="L64" s="270" t="s">
        <v>23</v>
      </c>
      <c r="M64" s="255"/>
    </row>
    <row r="65" ht="39" customHeight="1" spans="1:13">
      <c r="A65" s="256"/>
      <c r="B65" s="262"/>
      <c r="C65" s="262" t="s">
        <v>429</v>
      </c>
      <c r="D65" s="258" t="s">
        <v>430</v>
      </c>
      <c r="E65" s="258" t="s">
        <v>431</v>
      </c>
      <c r="F65" s="259" t="s">
        <v>287</v>
      </c>
      <c r="G65" s="263" t="s">
        <v>19</v>
      </c>
      <c r="H65" s="255" t="s">
        <v>20</v>
      </c>
      <c r="I65" s="271">
        <v>45413</v>
      </c>
      <c r="J65" s="255" t="s">
        <v>298</v>
      </c>
      <c r="K65" s="272" t="s">
        <v>28</v>
      </c>
      <c r="L65" s="270" t="s">
        <v>23</v>
      </c>
      <c r="M65" s="272" t="s">
        <v>432</v>
      </c>
    </row>
    <row r="66" ht="39" customHeight="1" spans="1:13">
      <c r="A66" s="256"/>
      <c r="B66" s="262"/>
      <c r="C66" s="262"/>
      <c r="D66" s="258" t="s">
        <v>433</v>
      </c>
      <c r="E66" s="258" t="s">
        <v>434</v>
      </c>
      <c r="F66" s="259" t="s">
        <v>287</v>
      </c>
      <c r="G66" s="263" t="s">
        <v>19</v>
      </c>
      <c r="H66" s="255" t="s">
        <v>20</v>
      </c>
      <c r="I66" s="271">
        <v>45413</v>
      </c>
      <c r="J66" s="255" t="s">
        <v>298</v>
      </c>
      <c r="K66" s="274"/>
      <c r="L66" s="270" t="s">
        <v>23</v>
      </c>
      <c r="M66" s="273"/>
    </row>
    <row r="67" ht="66" spans="1:13">
      <c r="A67" s="256"/>
      <c r="B67" s="262"/>
      <c r="C67" s="262"/>
      <c r="D67" s="258" t="s">
        <v>435</v>
      </c>
      <c r="E67" s="258" t="s">
        <v>436</v>
      </c>
      <c r="F67" s="259" t="s">
        <v>287</v>
      </c>
      <c r="G67" s="263" t="s">
        <v>437</v>
      </c>
      <c r="H67" s="255" t="s">
        <v>20</v>
      </c>
      <c r="I67" s="271">
        <v>45627</v>
      </c>
      <c r="J67" s="255" t="s">
        <v>298</v>
      </c>
      <c r="K67" s="255" t="s">
        <v>158</v>
      </c>
      <c r="L67" s="270" t="s">
        <v>23</v>
      </c>
      <c r="M67" s="274"/>
    </row>
    <row r="68" ht="39" customHeight="1" spans="1:13">
      <c r="A68" s="256"/>
      <c r="B68" s="251" t="s">
        <v>438</v>
      </c>
      <c r="C68" s="251" t="s">
        <v>438</v>
      </c>
      <c r="D68" s="258" t="s">
        <v>439</v>
      </c>
      <c r="E68" s="258" t="s">
        <v>440</v>
      </c>
      <c r="F68" s="258" t="s">
        <v>441</v>
      </c>
      <c r="G68" s="263" t="s">
        <v>19</v>
      </c>
      <c r="H68" s="255" t="s">
        <v>310</v>
      </c>
      <c r="I68" s="271" t="s">
        <v>311</v>
      </c>
      <c r="J68" s="255" t="s">
        <v>289</v>
      </c>
      <c r="K68" s="272" t="s">
        <v>311</v>
      </c>
      <c r="L68" s="270" t="s">
        <v>23</v>
      </c>
      <c r="M68" s="272" t="s">
        <v>442</v>
      </c>
    </row>
    <row r="69" ht="22.5" customHeight="1" spans="1:13">
      <c r="A69" s="256"/>
      <c r="B69" s="251"/>
      <c r="C69" s="251"/>
      <c r="D69" s="258" t="s">
        <v>443</v>
      </c>
      <c r="E69" s="258" t="s">
        <v>444</v>
      </c>
      <c r="F69" s="259" t="s">
        <v>287</v>
      </c>
      <c r="G69" s="263" t="s">
        <v>19</v>
      </c>
      <c r="H69" s="255" t="s">
        <v>310</v>
      </c>
      <c r="I69" s="271" t="s">
        <v>311</v>
      </c>
      <c r="J69" s="255" t="s">
        <v>289</v>
      </c>
      <c r="K69" s="273"/>
      <c r="L69" s="270" t="s">
        <v>23</v>
      </c>
      <c r="M69" s="274"/>
    </row>
    <row r="70" ht="22.5" customHeight="1" spans="1:13">
      <c r="A70" s="256"/>
      <c r="B70" s="261" t="s">
        <v>445</v>
      </c>
      <c r="C70" s="261" t="s">
        <v>446</v>
      </c>
      <c r="D70" s="258" t="s">
        <v>447</v>
      </c>
      <c r="E70" s="258" t="s">
        <v>448</v>
      </c>
      <c r="F70" s="259" t="s">
        <v>287</v>
      </c>
      <c r="G70" s="254" t="s">
        <v>157</v>
      </c>
      <c r="H70" s="255" t="s">
        <v>310</v>
      </c>
      <c r="I70" s="255" t="s">
        <v>311</v>
      </c>
      <c r="J70" s="255" t="s">
        <v>289</v>
      </c>
      <c r="K70" s="273"/>
      <c r="L70" s="270" t="s">
        <v>23</v>
      </c>
      <c r="M70" s="255"/>
    </row>
    <row r="71" ht="22.5" customHeight="1" spans="1:13">
      <c r="A71" s="256"/>
      <c r="B71" s="262"/>
      <c r="C71" s="262"/>
      <c r="D71" s="258" t="s">
        <v>449</v>
      </c>
      <c r="E71" s="258" t="s">
        <v>450</v>
      </c>
      <c r="F71" s="259" t="s">
        <v>287</v>
      </c>
      <c r="G71" s="254" t="s">
        <v>157</v>
      </c>
      <c r="H71" s="255" t="s">
        <v>310</v>
      </c>
      <c r="I71" s="255" t="s">
        <v>311</v>
      </c>
      <c r="J71" s="255" t="s">
        <v>289</v>
      </c>
      <c r="K71" s="273"/>
      <c r="L71" s="270" t="s">
        <v>23</v>
      </c>
      <c r="M71" s="255"/>
    </row>
    <row r="72" ht="22.5" customHeight="1" spans="1:13">
      <c r="A72" s="256"/>
      <c r="B72" s="262"/>
      <c r="C72" s="262"/>
      <c r="D72" s="258" t="s">
        <v>451</v>
      </c>
      <c r="E72" s="258" t="s">
        <v>452</v>
      </c>
      <c r="F72" s="259" t="s">
        <v>287</v>
      </c>
      <c r="G72" s="254" t="s">
        <v>157</v>
      </c>
      <c r="H72" s="255" t="s">
        <v>310</v>
      </c>
      <c r="I72" s="255" t="s">
        <v>311</v>
      </c>
      <c r="J72" s="255" t="s">
        <v>289</v>
      </c>
      <c r="K72" s="273"/>
      <c r="L72" s="270" t="s">
        <v>23</v>
      </c>
      <c r="M72" s="255"/>
    </row>
    <row r="73" ht="22.5" customHeight="1" spans="1:13">
      <c r="A73" s="256"/>
      <c r="B73" s="262"/>
      <c r="C73" s="262"/>
      <c r="D73" s="258" t="s">
        <v>453</v>
      </c>
      <c r="E73" s="258" t="s">
        <v>454</v>
      </c>
      <c r="F73" s="259" t="s">
        <v>287</v>
      </c>
      <c r="G73" s="254" t="s">
        <v>157</v>
      </c>
      <c r="H73" s="255" t="s">
        <v>310</v>
      </c>
      <c r="I73" s="255" t="s">
        <v>311</v>
      </c>
      <c r="J73" s="255" t="s">
        <v>289</v>
      </c>
      <c r="K73" s="274"/>
      <c r="L73" s="270" t="s">
        <v>23</v>
      </c>
      <c r="M73" s="255"/>
    </row>
    <row r="74" ht="22.5" customHeight="1" spans="1:13">
      <c r="A74" s="256"/>
      <c r="B74" s="262"/>
      <c r="C74" s="262"/>
      <c r="D74" s="258" t="s">
        <v>455</v>
      </c>
      <c r="E74" s="258" t="s">
        <v>456</v>
      </c>
      <c r="F74" s="259" t="s">
        <v>287</v>
      </c>
      <c r="G74" s="263" t="s">
        <v>19</v>
      </c>
      <c r="H74" s="255" t="s">
        <v>26</v>
      </c>
      <c r="I74" s="271">
        <v>45200</v>
      </c>
      <c r="J74" s="255" t="s">
        <v>289</v>
      </c>
      <c r="K74" s="272" t="s">
        <v>158</v>
      </c>
      <c r="L74" s="270" t="s">
        <v>23</v>
      </c>
      <c r="M74" s="255"/>
    </row>
    <row r="75" ht="22.5" customHeight="1" spans="1:13">
      <c r="A75" s="256"/>
      <c r="B75" s="262"/>
      <c r="C75" s="264"/>
      <c r="D75" s="258" t="s">
        <v>457</v>
      </c>
      <c r="E75" s="276" t="s">
        <v>458</v>
      </c>
      <c r="F75" s="259" t="s">
        <v>287</v>
      </c>
      <c r="G75" s="263" t="s">
        <v>19</v>
      </c>
      <c r="H75" s="255" t="s">
        <v>26</v>
      </c>
      <c r="I75" s="271">
        <v>45200</v>
      </c>
      <c r="J75" s="255" t="s">
        <v>289</v>
      </c>
      <c r="K75" s="273"/>
      <c r="L75" s="270" t="s">
        <v>23</v>
      </c>
      <c r="M75" s="255" t="s">
        <v>459</v>
      </c>
    </row>
    <row r="76" ht="22.5" customHeight="1" spans="1:13">
      <c r="A76" s="256"/>
      <c r="B76" s="262"/>
      <c r="C76" s="261" t="s">
        <v>460</v>
      </c>
      <c r="D76" s="258" t="s">
        <v>461</v>
      </c>
      <c r="E76" s="276" t="s">
        <v>462</v>
      </c>
      <c r="F76" s="259" t="s">
        <v>287</v>
      </c>
      <c r="G76" s="254" t="s">
        <v>157</v>
      </c>
      <c r="H76" s="255" t="s">
        <v>310</v>
      </c>
      <c r="I76" s="255" t="s">
        <v>311</v>
      </c>
      <c r="J76" s="255" t="s">
        <v>289</v>
      </c>
      <c r="K76" s="286"/>
      <c r="L76" s="270" t="s">
        <v>23</v>
      </c>
      <c r="M76" s="255"/>
    </row>
    <row r="77" ht="22.5" customHeight="1" spans="1:13">
      <c r="A77" s="256"/>
      <c r="B77" s="262"/>
      <c r="C77" s="262"/>
      <c r="D77" s="258" t="s">
        <v>463</v>
      </c>
      <c r="E77" s="258" t="s">
        <v>464</v>
      </c>
      <c r="F77" s="259" t="s">
        <v>287</v>
      </c>
      <c r="G77" s="254" t="s">
        <v>157</v>
      </c>
      <c r="H77" s="255" t="s">
        <v>310</v>
      </c>
      <c r="I77" s="255" t="s">
        <v>311</v>
      </c>
      <c r="J77" s="255" t="s">
        <v>289</v>
      </c>
      <c r="K77" s="286"/>
      <c r="L77" s="270" t="s">
        <v>23</v>
      </c>
      <c r="M77" s="255"/>
    </row>
    <row r="78" ht="22.5" customHeight="1" spans="1:13">
      <c r="A78" s="256"/>
      <c r="B78" s="262"/>
      <c r="C78" s="262"/>
      <c r="D78" s="258" t="s">
        <v>465</v>
      </c>
      <c r="E78" s="258" t="s">
        <v>466</v>
      </c>
      <c r="F78" s="259" t="s">
        <v>287</v>
      </c>
      <c r="G78" s="254" t="s">
        <v>157</v>
      </c>
      <c r="H78" s="255" t="s">
        <v>310</v>
      </c>
      <c r="I78" s="255" t="s">
        <v>311</v>
      </c>
      <c r="J78" s="255" t="s">
        <v>289</v>
      </c>
      <c r="K78" s="286"/>
      <c r="L78" s="270" t="s">
        <v>23</v>
      </c>
      <c r="M78" s="255"/>
    </row>
    <row r="79" ht="22.5" customHeight="1" spans="1:13">
      <c r="A79" s="256"/>
      <c r="B79" s="262"/>
      <c r="C79" s="262"/>
      <c r="D79" s="258" t="s">
        <v>467</v>
      </c>
      <c r="E79" s="258" t="s">
        <v>468</v>
      </c>
      <c r="F79" s="259" t="s">
        <v>287</v>
      </c>
      <c r="G79" s="254" t="s">
        <v>157</v>
      </c>
      <c r="H79" s="255" t="s">
        <v>26</v>
      </c>
      <c r="I79" s="271">
        <v>45200</v>
      </c>
      <c r="J79" s="255" t="s">
        <v>289</v>
      </c>
      <c r="K79" s="273"/>
      <c r="L79" s="270" t="s">
        <v>23</v>
      </c>
      <c r="M79" s="255"/>
    </row>
    <row r="80" ht="22.5" customHeight="1" spans="1:13">
      <c r="A80" s="256"/>
      <c r="B80" s="262"/>
      <c r="C80" s="264"/>
      <c r="D80" s="258" t="s">
        <v>457</v>
      </c>
      <c r="E80" s="276" t="s">
        <v>458</v>
      </c>
      <c r="F80" s="259" t="s">
        <v>287</v>
      </c>
      <c r="G80" s="263" t="s">
        <v>19</v>
      </c>
      <c r="H80" s="255" t="s">
        <v>26</v>
      </c>
      <c r="I80" s="271">
        <v>45200</v>
      </c>
      <c r="J80" s="255" t="s">
        <v>289</v>
      </c>
      <c r="K80" s="274"/>
      <c r="L80" s="270" t="s">
        <v>23</v>
      </c>
      <c r="M80" s="255" t="s">
        <v>459</v>
      </c>
    </row>
    <row r="81" ht="22.5" customHeight="1" spans="1:13">
      <c r="A81" s="256"/>
      <c r="B81" s="262"/>
      <c r="C81" s="251" t="s">
        <v>469</v>
      </c>
      <c r="D81" s="258" t="s">
        <v>470</v>
      </c>
      <c r="E81" s="276"/>
      <c r="F81" s="259" t="s">
        <v>287</v>
      </c>
      <c r="G81" s="263" t="s">
        <v>19</v>
      </c>
      <c r="H81" s="255" t="s">
        <v>26</v>
      </c>
      <c r="I81" s="271">
        <v>45261</v>
      </c>
      <c r="J81" s="255" t="s">
        <v>289</v>
      </c>
      <c r="K81" s="255" t="s">
        <v>185</v>
      </c>
      <c r="L81" s="270" t="s">
        <v>23</v>
      </c>
      <c r="M81" s="255"/>
    </row>
    <row r="82" ht="33" customHeight="1" spans="1:13">
      <c r="A82" s="256"/>
      <c r="B82" s="262"/>
      <c r="C82" s="251"/>
      <c r="D82" s="258" t="s">
        <v>471</v>
      </c>
      <c r="E82" s="258" t="s">
        <v>472</v>
      </c>
      <c r="F82" s="259" t="s">
        <v>287</v>
      </c>
      <c r="G82" s="263" t="s">
        <v>19</v>
      </c>
      <c r="H82" s="255" t="s">
        <v>26</v>
      </c>
      <c r="I82" s="271">
        <v>45261</v>
      </c>
      <c r="J82" s="255" t="s">
        <v>289</v>
      </c>
      <c r="K82" s="255" t="s">
        <v>185</v>
      </c>
      <c r="L82" s="270" t="s">
        <v>23</v>
      </c>
      <c r="M82" s="255"/>
    </row>
    <row r="83" ht="33" spans="1:13">
      <c r="A83" s="256"/>
      <c r="B83" s="262"/>
      <c r="C83" s="251" t="s">
        <v>473</v>
      </c>
      <c r="D83" s="258" t="s">
        <v>474</v>
      </c>
      <c r="E83" s="258" t="s">
        <v>475</v>
      </c>
      <c r="F83" s="259" t="s">
        <v>287</v>
      </c>
      <c r="G83" s="263" t="s">
        <v>476</v>
      </c>
      <c r="H83" s="255" t="s">
        <v>310</v>
      </c>
      <c r="I83" s="255" t="s">
        <v>311</v>
      </c>
      <c r="J83" s="255" t="s">
        <v>289</v>
      </c>
      <c r="K83" s="255" t="s">
        <v>311</v>
      </c>
      <c r="L83" s="270" t="s">
        <v>23</v>
      </c>
      <c r="M83" s="255"/>
    </row>
    <row r="84" ht="22.5" customHeight="1" spans="1:13">
      <c r="A84" s="256"/>
      <c r="B84" s="262"/>
      <c r="C84" s="251"/>
      <c r="D84" s="258" t="s">
        <v>477</v>
      </c>
      <c r="E84" s="258" t="s">
        <v>478</v>
      </c>
      <c r="F84" s="259" t="s">
        <v>287</v>
      </c>
      <c r="G84" s="263" t="s">
        <v>19</v>
      </c>
      <c r="H84" s="255" t="s">
        <v>26</v>
      </c>
      <c r="I84" s="271">
        <v>45200</v>
      </c>
      <c r="J84" s="255" t="s">
        <v>289</v>
      </c>
      <c r="K84" s="272" t="s">
        <v>185</v>
      </c>
      <c r="L84" s="270" t="s">
        <v>23</v>
      </c>
      <c r="M84" s="255"/>
    </row>
    <row r="85" ht="22.5" customHeight="1" spans="1:13">
      <c r="A85" s="256"/>
      <c r="B85" s="262"/>
      <c r="C85" s="251"/>
      <c r="D85" s="258" t="s">
        <v>479</v>
      </c>
      <c r="E85" s="258" t="s">
        <v>480</v>
      </c>
      <c r="F85" s="259" t="s">
        <v>287</v>
      </c>
      <c r="G85" s="263" t="s">
        <v>19</v>
      </c>
      <c r="H85" s="255" t="s">
        <v>26</v>
      </c>
      <c r="I85" s="271">
        <v>45231</v>
      </c>
      <c r="J85" s="255" t="s">
        <v>289</v>
      </c>
      <c r="K85" s="274"/>
      <c r="L85" s="270" t="s">
        <v>23</v>
      </c>
      <c r="M85" s="255" t="s">
        <v>481</v>
      </c>
    </row>
    <row r="86" ht="33" customHeight="1" spans="1:13">
      <c r="A86" s="256"/>
      <c r="B86" s="262"/>
      <c r="C86" s="261" t="s">
        <v>482</v>
      </c>
      <c r="D86" s="258" t="s">
        <v>483</v>
      </c>
      <c r="E86" s="258" t="s">
        <v>484</v>
      </c>
      <c r="F86" s="259" t="s">
        <v>287</v>
      </c>
      <c r="G86" s="263" t="s">
        <v>309</v>
      </c>
      <c r="H86" s="255" t="s">
        <v>26</v>
      </c>
      <c r="I86" s="271">
        <v>45261</v>
      </c>
      <c r="J86" s="255" t="s">
        <v>289</v>
      </c>
      <c r="K86" s="272" t="s">
        <v>185</v>
      </c>
      <c r="L86" s="270" t="s">
        <v>23</v>
      </c>
      <c r="M86" s="272" t="s">
        <v>485</v>
      </c>
    </row>
    <row r="87" ht="32" customHeight="1" spans="1:13">
      <c r="A87" s="256"/>
      <c r="B87" s="262"/>
      <c r="C87" s="264"/>
      <c r="D87" s="258" t="s">
        <v>486</v>
      </c>
      <c r="E87" s="258" t="s">
        <v>484</v>
      </c>
      <c r="F87" s="259" t="s">
        <v>287</v>
      </c>
      <c r="G87" s="263" t="s">
        <v>309</v>
      </c>
      <c r="H87" s="255" t="s">
        <v>26</v>
      </c>
      <c r="I87" s="271">
        <v>45261</v>
      </c>
      <c r="J87" s="255" t="s">
        <v>289</v>
      </c>
      <c r="K87" s="274"/>
      <c r="L87" s="270" t="s">
        <v>23</v>
      </c>
      <c r="M87" s="274"/>
    </row>
    <row r="88" ht="22.5" customHeight="1" spans="1:13">
      <c r="A88" s="256"/>
      <c r="B88" s="264"/>
      <c r="C88" s="264" t="s">
        <v>487</v>
      </c>
      <c r="D88" s="258" t="s">
        <v>488</v>
      </c>
      <c r="E88" s="258" t="s">
        <v>489</v>
      </c>
      <c r="F88" s="259" t="s">
        <v>287</v>
      </c>
      <c r="G88" s="263" t="s">
        <v>19</v>
      </c>
      <c r="H88" s="255" t="s">
        <v>26</v>
      </c>
      <c r="I88" s="271">
        <v>45231</v>
      </c>
      <c r="J88" s="255" t="s">
        <v>289</v>
      </c>
      <c r="K88" s="255" t="s">
        <v>28</v>
      </c>
      <c r="L88" s="270" t="s">
        <v>23</v>
      </c>
      <c r="M88" s="255" t="s">
        <v>485</v>
      </c>
    </row>
    <row r="89" ht="22.5" customHeight="1" spans="1:13">
      <c r="A89" s="256"/>
      <c r="B89" s="251" t="s">
        <v>490</v>
      </c>
      <c r="C89" s="262" t="s">
        <v>491</v>
      </c>
      <c r="D89" s="258" t="s">
        <v>492</v>
      </c>
      <c r="E89" s="258" t="s">
        <v>493</v>
      </c>
      <c r="F89" s="259" t="s">
        <v>494</v>
      </c>
      <c r="G89" s="263" t="s">
        <v>19</v>
      </c>
      <c r="H89" s="255" t="s">
        <v>20</v>
      </c>
      <c r="I89" s="271">
        <v>45627</v>
      </c>
      <c r="J89" s="255" t="s">
        <v>298</v>
      </c>
      <c r="K89" s="272" t="s">
        <v>181</v>
      </c>
      <c r="L89" s="270" t="s">
        <v>495</v>
      </c>
      <c r="M89" s="287"/>
    </row>
    <row r="90" ht="22.5" customHeight="1" spans="1:13">
      <c r="A90" s="256"/>
      <c r="B90" s="251"/>
      <c r="C90" s="262"/>
      <c r="D90" s="258" t="s">
        <v>496</v>
      </c>
      <c r="E90" s="258" t="s">
        <v>497</v>
      </c>
      <c r="F90" s="259" t="s">
        <v>494</v>
      </c>
      <c r="G90" s="263" t="s">
        <v>19</v>
      </c>
      <c r="H90" s="255" t="s">
        <v>20</v>
      </c>
      <c r="I90" s="271">
        <v>45628</v>
      </c>
      <c r="J90" s="255" t="s">
        <v>298</v>
      </c>
      <c r="K90" s="274"/>
      <c r="L90" s="270" t="s">
        <v>495</v>
      </c>
      <c r="M90" s="287"/>
    </row>
    <row r="91" ht="22.5" customHeight="1" spans="1:13">
      <c r="A91" s="256"/>
      <c r="B91" s="251"/>
      <c r="C91" s="262"/>
      <c r="D91" s="258" t="s">
        <v>498</v>
      </c>
      <c r="E91" s="258" t="s">
        <v>499</v>
      </c>
      <c r="F91" s="259" t="s">
        <v>494</v>
      </c>
      <c r="G91" s="263" t="s">
        <v>19</v>
      </c>
      <c r="H91" s="255" t="s">
        <v>56</v>
      </c>
      <c r="I91" s="271">
        <v>45992</v>
      </c>
      <c r="J91" s="255" t="s">
        <v>346</v>
      </c>
      <c r="K91" s="255" t="s">
        <v>158</v>
      </c>
      <c r="L91" s="270" t="s">
        <v>500</v>
      </c>
      <c r="M91" s="287"/>
    </row>
    <row r="92" ht="22.5" customHeight="1" spans="1:13">
      <c r="A92" s="256"/>
      <c r="B92" s="251"/>
      <c r="C92" s="261" t="s">
        <v>501</v>
      </c>
      <c r="D92" s="261" t="s">
        <v>502</v>
      </c>
      <c r="E92" s="258" t="s">
        <v>503</v>
      </c>
      <c r="F92" s="259" t="s">
        <v>504</v>
      </c>
      <c r="G92" s="263" t="s">
        <v>19</v>
      </c>
      <c r="H92" s="255" t="s">
        <v>56</v>
      </c>
      <c r="I92" s="271">
        <v>45992</v>
      </c>
      <c r="J92" s="255" t="s">
        <v>346</v>
      </c>
      <c r="K92" s="272" t="s">
        <v>505</v>
      </c>
      <c r="L92" s="270" t="s">
        <v>495</v>
      </c>
      <c r="M92" s="272" t="s">
        <v>506</v>
      </c>
    </row>
    <row r="93" ht="22.5" customHeight="1" spans="1:13">
      <c r="A93" s="256"/>
      <c r="B93" s="251"/>
      <c r="C93" s="262"/>
      <c r="D93" s="262"/>
      <c r="E93" s="258" t="s">
        <v>507</v>
      </c>
      <c r="F93" s="259" t="s">
        <v>504</v>
      </c>
      <c r="G93" s="263" t="s">
        <v>19</v>
      </c>
      <c r="H93" s="255" t="s">
        <v>56</v>
      </c>
      <c r="I93" s="271">
        <v>45992</v>
      </c>
      <c r="J93" s="255" t="s">
        <v>346</v>
      </c>
      <c r="K93" s="273"/>
      <c r="L93" s="270" t="s">
        <v>495</v>
      </c>
      <c r="M93" s="273"/>
    </row>
    <row r="94" ht="22.5" customHeight="1" spans="1:13">
      <c r="A94" s="256"/>
      <c r="B94" s="251"/>
      <c r="C94" s="262"/>
      <c r="D94" s="262"/>
      <c r="E94" s="258" t="s">
        <v>508</v>
      </c>
      <c r="F94" s="259" t="s">
        <v>504</v>
      </c>
      <c r="G94" s="263" t="s">
        <v>19</v>
      </c>
      <c r="H94" s="255" t="s">
        <v>56</v>
      </c>
      <c r="I94" s="271">
        <v>45992</v>
      </c>
      <c r="J94" s="255" t="s">
        <v>346</v>
      </c>
      <c r="K94" s="273"/>
      <c r="L94" s="270" t="s">
        <v>495</v>
      </c>
      <c r="M94" s="273"/>
    </row>
    <row r="95" ht="22.5" customHeight="1" spans="1:13">
      <c r="A95" s="256"/>
      <c r="B95" s="251"/>
      <c r="C95" s="262"/>
      <c r="D95" s="262"/>
      <c r="E95" s="258" t="s">
        <v>509</v>
      </c>
      <c r="F95" s="259" t="s">
        <v>504</v>
      </c>
      <c r="G95" s="263" t="s">
        <v>19</v>
      </c>
      <c r="H95" s="255" t="s">
        <v>56</v>
      </c>
      <c r="I95" s="271">
        <v>45992</v>
      </c>
      <c r="J95" s="255" t="s">
        <v>346</v>
      </c>
      <c r="K95" s="273"/>
      <c r="L95" s="270" t="s">
        <v>495</v>
      </c>
      <c r="M95" s="273"/>
    </row>
    <row r="96" ht="22.5" customHeight="1" spans="1:13">
      <c r="A96" s="256"/>
      <c r="B96" s="251"/>
      <c r="C96" s="262"/>
      <c r="D96" s="262"/>
      <c r="E96" s="258" t="s">
        <v>510</v>
      </c>
      <c r="F96" s="259" t="s">
        <v>504</v>
      </c>
      <c r="G96" s="263" t="s">
        <v>19</v>
      </c>
      <c r="H96" s="255" t="s">
        <v>56</v>
      </c>
      <c r="I96" s="271">
        <v>45992</v>
      </c>
      <c r="J96" s="255" t="s">
        <v>346</v>
      </c>
      <c r="K96" s="273"/>
      <c r="L96" s="270" t="s">
        <v>495</v>
      </c>
      <c r="M96" s="273"/>
    </row>
    <row r="97" ht="22.5" customHeight="1" spans="1:13">
      <c r="A97" s="256"/>
      <c r="B97" s="251"/>
      <c r="C97" s="262"/>
      <c r="D97" s="262"/>
      <c r="E97" s="258" t="s">
        <v>511</v>
      </c>
      <c r="F97" s="259" t="s">
        <v>504</v>
      </c>
      <c r="G97" s="263" t="s">
        <v>19</v>
      </c>
      <c r="H97" s="255" t="s">
        <v>56</v>
      </c>
      <c r="I97" s="271">
        <v>45992</v>
      </c>
      <c r="J97" s="255" t="s">
        <v>346</v>
      </c>
      <c r="K97" s="273"/>
      <c r="L97" s="270" t="s">
        <v>495</v>
      </c>
      <c r="M97" s="273"/>
    </row>
    <row r="98" ht="22.5" customHeight="1" spans="1:13">
      <c r="A98" s="256"/>
      <c r="B98" s="251"/>
      <c r="C98" s="262"/>
      <c r="D98" s="262"/>
      <c r="E98" s="258" t="s">
        <v>512</v>
      </c>
      <c r="F98" s="259" t="s">
        <v>504</v>
      </c>
      <c r="G98" s="263" t="s">
        <v>19</v>
      </c>
      <c r="H98" s="255" t="s">
        <v>56</v>
      </c>
      <c r="I98" s="271">
        <v>45992</v>
      </c>
      <c r="J98" s="255" t="s">
        <v>346</v>
      </c>
      <c r="K98" s="273"/>
      <c r="L98" s="270" t="s">
        <v>495</v>
      </c>
      <c r="M98" s="273"/>
    </row>
    <row r="99" ht="22.5" customHeight="1" spans="1:13">
      <c r="A99" s="256"/>
      <c r="B99" s="251"/>
      <c r="C99" s="262"/>
      <c r="D99" s="262"/>
      <c r="E99" s="258" t="s">
        <v>513</v>
      </c>
      <c r="F99" s="259" t="s">
        <v>504</v>
      </c>
      <c r="G99" s="263" t="s">
        <v>19</v>
      </c>
      <c r="H99" s="255" t="s">
        <v>56</v>
      </c>
      <c r="I99" s="271">
        <v>45992</v>
      </c>
      <c r="J99" s="255" t="s">
        <v>346</v>
      </c>
      <c r="K99" s="273"/>
      <c r="L99" s="270" t="s">
        <v>495</v>
      </c>
      <c r="M99" s="273"/>
    </row>
    <row r="100" ht="22.5" customHeight="1" spans="1:13">
      <c r="A100" s="256"/>
      <c r="B100" s="251"/>
      <c r="C100" s="262"/>
      <c r="D100" s="262"/>
      <c r="E100" s="258" t="s">
        <v>514</v>
      </c>
      <c r="F100" s="259" t="s">
        <v>504</v>
      </c>
      <c r="G100" s="263" t="s">
        <v>19</v>
      </c>
      <c r="H100" s="255" t="s">
        <v>56</v>
      </c>
      <c r="I100" s="271">
        <v>45992</v>
      </c>
      <c r="J100" s="255" t="s">
        <v>346</v>
      </c>
      <c r="K100" s="273"/>
      <c r="L100" s="270" t="s">
        <v>495</v>
      </c>
      <c r="M100" s="273"/>
    </row>
    <row r="101" ht="22.5" customHeight="1" spans="1:13">
      <c r="A101" s="256"/>
      <c r="B101" s="251"/>
      <c r="C101" s="262"/>
      <c r="D101" s="262"/>
      <c r="E101" s="258" t="s">
        <v>515</v>
      </c>
      <c r="F101" s="259" t="s">
        <v>504</v>
      </c>
      <c r="G101" s="263" t="s">
        <v>19</v>
      </c>
      <c r="H101" s="255" t="s">
        <v>56</v>
      </c>
      <c r="I101" s="271">
        <v>45992</v>
      </c>
      <c r="J101" s="255" t="s">
        <v>346</v>
      </c>
      <c r="K101" s="273"/>
      <c r="L101" s="270" t="s">
        <v>495</v>
      </c>
      <c r="M101" s="273"/>
    </row>
    <row r="102" ht="22.5" customHeight="1" spans="1:13">
      <c r="A102" s="256"/>
      <c r="B102" s="251"/>
      <c r="C102" s="262"/>
      <c r="D102" s="262"/>
      <c r="E102" s="258" t="s">
        <v>516</v>
      </c>
      <c r="F102" s="259" t="s">
        <v>504</v>
      </c>
      <c r="G102" s="263" t="s">
        <v>19</v>
      </c>
      <c r="H102" s="255" t="s">
        <v>56</v>
      </c>
      <c r="I102" s="271">
        <v>45992</v>
      </c>
      <c r="J102" s="255" t="s">
        <v>346</v>
      </c>
      <c r="K102" s="273"/>
      <c r="L102" s="270" t="s">
        <v>495</v>
      </c>
      <c r="M102" s="273"/>
    </row>
    <row r="103" ht="22.5" customHeight="1" spans="1:13">
      <c r="A103" s="256"/>
      <c r="B103" s="251"/>
      <c r="C103" s="262"/>
      <c r="D103" s="262"/>
      <c r="E103" s="258" t="s">
        <v>517</v>
      </c>
      <c r="F103" s="259" t="s">
        <v>504</v>
      </c>
      <c r="G103" s="263" t="s">
        <v>19</v>
      </c>
      <c r="H103" s="255" t="s">
        <v>56</v>
      </c>
      <c r="I103" s="271">
        <v>45992</v>
      </c>
      <c r="J103" s="255" t="s">
        <v>346</v>
      </c>
      <c r="K103" s="273"/>
      <c r="L103" s="270" t="s">
        <v>495</v>
      </c>
      <c r="M103" s="273"/>
    </row>
    <row r="104" ht="22.5" customHeight="1" spans="1:13">
      <c r="A104" s="256"/>
      <c r="B104" s="251"/>
      <c r="C104" s="262"/>
      <c r="D104" s="262"/>
      <c r="E104" s="258" t="s">
        <v>518</v>
      </c>
      <c r="F104" s="259" t="s">
        <v>504</v>
      </c>
      <c r="G104" s="263" t="s">
        <v>19</v>
      </c>
      <c r="H104" s="255" t="s">
        <v>56</v>
      </c>
      <c r="I104" s="271">
        <v>45992</v>
      </c>
      <c r="J104" s="255" t="s">
        <v>346</v>
      </c>
      <c r="K104" s="273"/>
      <c r="L104" s="270" t="s">
        <v>495</v>
      </c>
      <c r="M104" s="273"/>
    </row>
    <row r="105" ht="22.5" customHeight="1" spans="1:13">
      <c r="A105" s="256"/>
      <c r="B105" s="251"/>
      <c r="C105" s="264"/>
      <c r="D105" s="264"/>
      <c r="E105" s="258" t="s">
        <v>519</v>
      </c>
      <c r="F105" s="259" t="s">
        <v>504</v>
      </c>
      <c r="G105" s="263" t="s">
        <v>19</v>
      </c>
      <c r="H105" s="255" t="s">
        <v>56</v>
      </c>
      <c r="I105" s="271">
        <v>45992</v>
      </c>
      <c r="J105" s="255" t="s">
        <v>346</v>
      </c>
      <c r="K105" s="274"/>
      <c r="L105" s="270" t="s">
        <v>495</v>
      </c>
      <c r="M105" s="273"/>
    </row>
    <row r="106" ht="22.5" customHeight="1" spans="1:13">
      <c r="A106" s="256"/>
      <c r="B106" s="251"/>
      <c r="C106" s="261" t="s">
        <v>520</v>
      </c>
      <c r="D106" s="258" t="s">
        <v>521</v>
      </c>
      <c r="E106" s="258" t="s">
        <v>522</v>
      </c>
      <c r="F106" s="259" t="s">
        <v>504</v>
      </c>
      <c r="G106" s="263" t="s">
        <v>19</v>
      </c>
      <c r="H106" s="255" t="s">
        <v>302</v>
      </c>
      <c r="I106" s="271">
        <v>46357</v>
      </c>
      <c r="J106" s="255" t="s">
        <v>303</v>
      </c>
      <c r="K106" s="272" t="s">
        <v>523</v>
      </c>
      <c r="L106" s="270" t="s">
        <v>495</v>
      </c>
      <c r="M106" s="272" t="s">
        <v>524</v>
      </c>
    </row>
    <row r="107" ht="22.5" customHeight="1" spans="1:13">
      <c r="A107" s="256"/>
      <c r="B107" s="251"/>
      <c r="C107" s="262"/>
      <c r="D107" s="258" t="s">
        <v>525</v>
      </c>
      <c r="E107" s="258" t="s">
        <v>526</v>
      </c>
      <c r="F107" s="259" t="s">
        <v>504</v>
      </c>
      <c r="G107" s="263" t="s">
        <v>19</v>
      </c>
      <c r="H107" s="255" t="s">
        <v>302</v>
      </c>
      <c r="I107" s="271">
        <v>46357</v>
      </c>
      <c r="J107" s="255" t="s">
        <v>303</v>
      </c>
      <c r="K107" s="273"/>
      <c r="L107" s="270" t="s">
        <v>495</v>
      </c>
      <c r="M107" s="273"/>
    </row>
    <row r="108" ht="22.5" customHeight="1" spans="1:13">
      <c r="A108" s="256"/>
      <c r="B108" s="251"/>
      <c r="C108" s="262"/>
      <c r="D108" s="258" t="s">
        <v>527</v>
      </c>
      <c r="E108" s="258" t="s">
        <v>528</v>
      </c>
      <c r="F108" s="259" t="s">
        <v>504</v>
      </c>
      <c r="G108" s="263" t="s">
        <v>19</v>
      </c>
      <c r="H108" s="255" t="s">
        <v>302</v>
      </c>
      <c r="I108" s="271">
        <v>46357</v>
      </c>
      <c r="J108" s="255" t="s">
        <v>303</v>
      </c>
      <c r="K108" s="273"/>
      <c r="L108" s="270" t="s">
        <v>495</v>
      </c>
      <c r="M108" s="273"/>
    </row>
    <row r="109" ht="22.5" customHeight="1" spans="1:13">
      <c r="A109" s="256"/>
      <c r="B109" s="251"/>
      <c r="C109" s="262"/>
      <c r="D109" s="258" t="s">
        <v>529</v>
      </c>
      <c r="E109" s="258" t="s">
        <v>530</v>
      </c>
      <c r="F109" s="259" t="s">
        <v>504</v>
      </c>
      <c r="G109" s="263" t="s">
        <v>19</v>
      </c>
      <c r="H109" s="255" t="s">
        <v>302</v>
      </c>
      <c r="I109" s="271">
        <v>46357</v>
      </c>
      <c r="J109" s="255" t="s">
        <v>303</v>
      </c>
      <c r="K109" s="273"/>
      <c r="L109" s="270" t="s">
        <v>495</v>
      </c>
      <c r="M109" s="273"/>
    </row>
    <row r="110" ht="22.5" customHeight="1" spans="1:13">
      <c r="A110" s="256"/>
      <c r="B110" s="251"/>
      <c r="C110" s="262"/>
      <c r="D110" s="258" t="s">
        <v>531</v>
      </c>
      <c r="E110" s="258" t="s">
        <v>532</v>
      </c>
      <c r="F110" s="259" t="s">
        <v>504</v>
      </c>
      <c r="G110" s="263" t="s">
        <v>19</v>
      </c>
      <c r="H110" s="255" t="s">
        <v>302</v>
      </c>
      <c r="I110" s="271">
        <v>46357</v>
      </c>
      <c r="J110" s="255" t="s">
        <v>303</v>
      </c>
      <c r="K110" s="273"/>
      <c r="L110" s="270" t="s">
        <v>495</v>
      </c>
      <c r="M110" s="273"/>
    </row>
    <row r="111" ht="22.5" customHeight="1" spans="1:13">
      <c r="A111" s="256"/>
      <c r="B111" s="251"/>
      <c r="C111" s="262"/>
      <c r="D111" s="258" t="s">
        <v>533</v>
      </c>
      <c r="E111" s="258" t="s">
        <v>534</v>
      </c>
      <c r="F111" s="259" t="s">
        <v>504</v>
      </c>
      <c r="G111" s="263" t="s">
        <v>19</v>
      </c>
      <c r="H111" s="255" t="s">
        <v>302</v>
      </c>
      <c r="I111" s="271">
        <v>46357</v>
      </c>
      <c r="J111" s="255" t="s">
        <v>303</v>
      </c>
      <c r="K111" s="273"/>
      <c r="L111" s="270" t="s">
        <v>495</v>
      </c>
      <c r="M111" s="273"/>
    </row>
    <row r="112" ht="22.5" customHeight="1" spans="1:13">
      <c r="A112" s="256"/>
      <c r="B112" s="251"/>
      <c r="C112" s="262"/>
      <c r="D112" s="258" t="s">
        <v>535</v>
      </c>
      <c r="E112" s="258" t="s">
        <v>536</v>
      </c>
      <c r="F112" s="259" t="s">
        <v>504</v>
      </c>
      <c r="G112" s="263" t="s">
        <v>19</v>
      </c>
      <c r="H112" s="255" t="s">
        <v>302</v>
      </c>
      <c r="I112" s="271">
        <v>46357</v>
      </c>
      <c r="J112" s="255" t="s">
        <v>303</v>
      </c>
      <c r="K112" s="273"/>
      <c r="L112" s="270" t="s">
        <v>495</v>
      </c>
      <c r="M112" s="273"/>
    </row>
    <row r="113" ht="22.5" customHeight="1" spans="1:13">
      <c r="A113" s="256"/>
      <c r="B113" s="251"/>
      <c r="C113" s="262"/>
      <c r="D113" s="258" t="s">
        <v>537</v>
      </c>
      <c r="E113" s="258" t="s">
        <v>538</v>
      </c>
      <c r="F113" s="259" t="s">
        <v>504</v>
      </c>
      <c r="G113" s="263" t="s">
        <v>19</v>
      </c>
      <c r="H113" s="255" t="s">
        <v>302</v>
      </c>
      <c r="I113" s="271">
        <v>46357</v>
      </c>
      <c r="J113" s="255" t="s">
        <v>303</v>
      </c>
      <c r="K113" s="273"/>
      <c r="L113" s="270" t="s">
        <v>495</v>
      </c>
      <c r="M113" s="273"/>
    </row>
    <row r="114" ht="22.5" customHeight="1" spans="1:13">
      <c r="A114" s="256"/>
      <c r="B114" s="251"/>
      <c r="C114" s="262"/>
      <c r="D114" s="258" t="s">
        <v>539</v>
      </c>
      <c r="E114" s="258" t="s">
        <v>540</v>
      </c>
      <c r="F114" s="259" t="s">
        <v>504</v>
      </c>
      <c r="G114" s="263" t="s">
        <v>19</v>
      </c>
      <c r="H114" s="255" t="s">
        <v>302</v>
      </c>
      <c r="I114" s="271">
        <v>46357</v>
      </c>
      <c r="J114" s="255" t="s">
        <v>303</v>
      </c>
      <c r="K114" s="273"/>
      <c r="L114" s="270" t="s">
        <v>495</v>
      </c>
      <c r="M114" s="273"/>
    </row>
    <row r="115" ht="22.5" customHeight="1" spans="1:13">
      <c r="A115" s="256"/>
      <c r="B115" s="251"/>
      <c r="C115" s="262"/>
      <c r="D115" s="258" t="s">
        <v>541</v>
      </c>
      <c r="E115" s="258" t="s">
        <v>542</v>
      </c>
      <c r="F115" s="259" t="s">
        <v>504</v>
      </c>
      <c r="G115" s="263" t="s">
        <v>19</v>
      </c>
      <c r="H115" s="255" t="s">
        <v>302</v>
      </c>
      <c r="I115" s="271">
        <v>46357</v>
      </c>
      <c r="J115" s="255" t="s">
        <v>303</v>
      </c>
      <c r="K115" s="273"/>
      <c r="L115" s="270" t="s">
        <v>495</v>
      </c>
      <c r="M115" s="273"/>
    </row>
    <row r="116" ht="22.5" customHeight="1" spans="1:13">
      <c r="A116" s="256"/>
      <c r="B116" s="251"/>
      <c r="C116" s="262"/>
      <c r="D116" s="258" t="s">
        <v>543</v>
      </c>
      <c r="E116" s="258" t="s">
        <v>544</v>
      </c>
      <c r="F116" s="259" t="s">
        <v>504</v>
      </c>
      <c r="G116" s="263" t="s">
        <v>19</v>
      </c>
      <c r="H116" s="255" t="s">
        <v>302</v>
      </c>
      <c r="I116" s="271">
        <v>46357</v>
      </c>
      <c r="J116" s="255" t="s">
        <v>303</v>
      </c>
      <c r="K116" s="273"/>
      <c r="L116" s="270" t="s">
        <v>495</v>
      </c>
      <c r="M116" s="273"/>
    </row>
    <row r="117" ht="22.5" customHeight="1" spans="1:13">
      <c r="A117" s="256"/>
      <c r="B117" s="261"/>
      <c r="C117" s="264"/>
      <c r="D117" s="258" t="s">
        <v>545</v>
      </c>
      <c r="E117" s="258" t="s">
        <v>546</v>
      </c>
      <c r="F117" s="259" t="s">
        <v>504</v>
      </c>
      <c r="G117" s="263" t="s">
        <v>19</v>
      </c>
      <c r="H117" s="255" t="s">
        <v>302</v>
      </c>
      <c r="I117" s="271">
        <v>46357</v>
      </c>
      <c r="J117" s="255" t="s">
        <v>303</v>
      </c>
      <c r="K117" s="274"/>
      <c r="L117" s="270" t="s">
        <v>495</v>
      </c>
      <c r="M117" s="273"/>
    </row>
    <row r="118" ht="66" spans="1:13">
      <c r="A118" s="277" t="s">
        <v>547</v>
      </c>
      <c r="B118" s="278" t="s">
        <v>547</v>
      </c>
      <c r="C118" s="279" t="s">
        <v>548</v>
      </c>
      <c r="D118" s="252" t="s">
        <v>549</v>
      </c>
      <c r="E118" s="280" t="s">
        <v>550</v>
      </c>
      <c r="F118" s="253" t="s">
        <v>551</v>
      </c>
      <c r="G118" s="263" t="s">
        <v>19</v>
      </c>
      <c r="H118" s="255" t="s">
        <v>20</v>
      </c>
      <c r="I118" s="288">
        <v>45627</v>
      </c>
      <c r="J118" s="255" t="s">
        <v>346</v>
      </c>
      <c r="K118" s="272" t="s">
        <v>257</v>
      </c>
      <c r="L118" s="270" t="s">
        <v>23</v>
      </c>
      <c r="M118" s="289"/>
    </row>
    <row r="119" ht="22.5" customHeight="1" spans="1:13">
      <c r="A119" s="281"/>
      <c r="B119" s="282"/>
      <c r="C119" s="279"/>
      <c r="D119" s="252" t="s">
        <v>552</v>
      </c>
      <c r="E119" s="280" t="s">
        <v>553</v>
      </c>
      <c r="F119" s="253" t="s">
        <v>554</v>
      </c>
      <c r="G119" s="263" t="s">
        <v>19</v>
      </c>
      <c r="H119" s="255" t="s">
        <v>20</v>
      </c>
      <c r="I119" s="288">
        <v>45627</v>
      </c>
      <c r="J119" s="255" t="s">
        <v>346</v>
      </c>
      <c r="K119" s="273"/>
      <c r="L119" s="270" t="s">
        <v>23</v>
      </c>
      <c r="M119" s="289"/>
    </row>
    <row r="120" ht="39" customHeight="1" spans="1:13">
      <c r="A120" s="281"/>
      <c r="B120" s="282"/>
      <c r="C120" s="279"/>
      <c r="D120" s="252" t="s">
        <v>555</v>
      </c>
      <c r="E120" s="280" t="s">
        <v>556</v>
      </c>
      <c r="F120" s="253" t="s">
        <v>554</v>
      </c>
      <c r="G120" s="263" t="s">
        <v>19</v>
      </c>
      <c r="H120" s="255" t="s">
        <v>20</v>
      </c>
      <c r="I120" s="288">
        <v>45627</v>
      </c>
      <c r="J120" s="255" t="s">
        <v>346</v>
      </c>
      <c r="K120" s="274"/>
      <c r="L120" s="270" t="s">
        <v>23</v>
      </c>
      <c r="M120" s="289"/>
    </row>
    <row r="121" ht="22.5" customHeight="1" spans="1:13">
      <c r="A121" s="281"/>
      <c r="B121" s="282"/>
      <c r="C121" s="279"/>
      <c r="D121" s="280" t="s">
        <v>557</v>
      </c>
      <c r="E121" s="280" t="s">
        <v>558</v>
      </c>
      <c r="F121" s="253" t="s">
        <v>554</v>
      </c>
      <c r="G121" s="263" t="s">
        <v>19</v>
      </c>
      <c r="H121" s="255" t="s">
        <v>56</v>
      </c>
      <c r="I121" s="288">
        <v>45809</v>
      </c>
      <c r="J121" s="255" t="s">
        <v>346</v>
      </c>
      <c r="K121" s="255" t="s">
        <v>158</v>
      </c>
      <c r="L121" s="270" t="s">
        <v>23</v>
      </c>
      <c r="M121" s="289"/>
    </row>
    <row r="122" ht="22.5" customHeight="1" spans="1:13">
      <c r="A122" s="281"/>
      <c r="B122" s="282"/>
      <c r="C122" s="283" t="s">
        <v>559</v>
      </c>
      <c r="D122" s="280" t="s">
        <v>560</v>
      </c>
      <c r="E122" s="280" t="s">
        <v>561</v>
      </c>
      <c r="F122" s="253" t="s">
        <v>554</v>
      </c>
      <c r="G122" s="263" t="s">
        <v>19</v>
      </c>
      <c r="H122" s="255" t="s">
        <v>302</v>
      </c>
      <c r="I122" s="288">
        <v>46174</v>
      </c>
      <c r="J122" s="255" t="s">
        <v>346</v>
      </c>
      <c r="K122" s="255" t="s">
        <v>181</v>
      </c>
      <c r="L122" s="270" t="s">
        <v>23</v>
      </c>
      <c r="M122" s="289"/>
    </row>
    <row r="123" ht="22.5" customHeight="1" spans="1:13">
      <c r="A123" s="281"/>
      <c r="B123" s="282"/>
      <c r="C123" s="283"/>
      <c r="D123" s="280" t="s">
        <v>562</v>
      </c>
      <c r="E123" s="280" t="s">
        <v>563</v>
      </c>
      <c r="F123" s="253" t="s">
        <v>564</v>
      </c>
      <c r="G123" s="263" t="s">
        <v>19</v>
      </c>
      <c r="H123" s="255" t="s">
        <v>302</v>
      </c>
      <c r="I123" s="288">
        <v>46174</v>
      </c>
      <c r="J123" s="255" t="s">
        <v>346</v>
      </c>
      <c r="K123" s="255" t="s">
        <v>181</v>
      </c>
      <c r="L123" s="270" t="s">
        <v>23</v>
      </c>
      <c r="M123" s="289"/>
    </row>
    <row r="124" ht="22.5" customHeight="1" spans="1:13">
      <c r="A124" s="281"/>
      <c r="B124" s="282"/>
      <c r="C124" s="283"/>
      <c r="D124" s="280" t="s">
        <v>565</v>
      </c>
      <c r="E124" s="280" t="s">
        <v>566</v>
      </c>
      <c r="F124" s="253" t="s">
        <v>567</v>
      </c>
      <c r="G124" s="263" t="s">
        <v>19</v>
      </c>
      <c r="H124" s="255" t="s">
        <v>302</v>
      </c>
      <c r="I124" s="288">
        <v>46174</v>
      </c>
      <c r="J124" s="255" t="s">
        <v>346</v>
      </c>
      <c r="K124" s="255" t="s">
        <v>243</v>
      </c>
      <c r="L124" s="270" t="s">
        <v>23</v>
      </c>
      <c r="M124" s="289"/>
    </row>
    <row r="125" ht="22.5" customHeight="1" spans="1:13">
      <c r="A125" s="281"/>
      <c r="B125" s="282"/>
      <c r="C125" s="283"/>
      <c r="D125" s="280" t="s">
        <v>568</v>
      </c>
      <c r="E125" s="280" t="s">
        <v>569</v>
      </c>
      <c r="F125" s="253" t="s">
        <v>564</v>
      </c>
      <c r="G125" s="263" t="s">
        <v>19</v>
      </c>
      <c r="H125" s="255" t="s">
        <v>302</v>
      </c>
      <c r="I125" s="288">
        <v>46174</v>
      </c>
      <c r="J125" s="255" t="s">
        <v>346</v>
      </c>
      <c r="K125" s="255" t="s">
        <v>243</v>
      </c>
      <c r="L125" s="270" t="s">
        <v>23</v>
      </c>
      <c r="M125" s="289"/>
    </row>
    <row r="126" ht="39" customHeight="1" spans="1:13">
      <c r="A126" s="281"/>
      <c r="B126" s="282"/>
      <c r="C126" s="283" t="s">
        <v>570</v>
      </c>
      <c r="D126" s="284" t="s">
        <v>571</v>
      </c>
      <c r="E126" s="284" t="s">
        <v>572</v>
      </c>
      <c r="F126" s="253" t="s">
        <v>554</v>
      </c>
      <c r="G126" s="263" t="s">
        <v>19</v>
      </c>
      <c r="H126" s="255" t="s">
        <v>56</v>
      </c>
      <c r="I126" s="288">
        <v>45870</v>
      </c>
      <c r="J126" s="255" t="s">
        <v>346</v>
      </c>
      <c r="K126" s="255" t="s">
        <v>181</v>
      </c>
      <c r="L126" s="270" t="s">
        <v>23</v>
      </c>
      <c r="M126" s="289"/>
    </row>
    <row r="127" ht="22.5" customHeight="1" spans="1:13">
      <c r="A127" s="281"/>
      <c r="B127" s="282"/>
      <c r="C127" s="285" t="s">
        <v>573</v>
      </c>
      <c r="D127" s="280" t="s">
        <v>574</v>
      </c>
      <c r="E127" s="280" t="s">
        <v>575</v>
      </c>
      <c r="F127" s="253" t="s">
        <v>564</v>
      </c>
      <c r="G127" s="263" t="s">
        <v>19</v>
      </c>
      <c r="H127" s="255" t="s">
        <v>302</v>
      </c>
      <c r="I127" s="288">
        <v>46357</v>
      </c>
      <c r="J127" s="255" t="s">
        <v>303</v>
      </c>
      <c r="K127" s="272" t="s">
        <v>576</v>
      </c>
      <c r="L127" s="270" t="s">
        <v>23</v>
      </c>
      <c r="M127" s="277" t="s">
        <v>577</v>
      </c>
    </row>
    <row r="128" ht="22.5" customHeight="1" spans="1:13">
      <c r="A128" s="281"/>
      <c r="B128" s="282"/>
      <c r="C128" s="285"/>
      <c r="D128" s="280" t="s">
        <v>578</v>
      </c>
      <c r="E128" s="280" t="s">
        <v>579</v>
      </c>
      <c r="F128" s="253" t="s">
        <v>564</v>
      </c>
      <c r="G128" s="263" t="s">
        <v>19</v>
      </c>
      <c r="H128" s="255" t="s">
        <v>302</v>
      </c>
      <c r="I128" s="288">
        <v>46357</v>
      </c>
      <c r="J128" s="255" t="s">
        <v>303</v>
      </c>
      <c r="K128" s="273"/>
      <c r="L128" s="270" t="s">
        <v>23</v>
      </c>
      <c r="M128" s="281"/>
    </row>
    <row r="129" ht="55.5" customHeight="1" spans="1:13">
      <c r="A129" s="281"/>
      <c r="B129" s="282"/>
      <c r="C129" s="285"/>
      <c r="D129" s="280" t="s">
        <v>580</v>
      </c>
      <c r="E129" s="280" t="s">
        <v>581</v>
      </c>
      <c r="F129" s="253" t="s">
        <v>582</v>
      </c>
      <c r="G129" s="263" t="s">
        <v>19</v>
      </c>
      <c r="H129" s="255" t="s">
        <v>302</v>
      </c>
      <c r="I129" s="288">
        <v>46357</v>
      </c>
      <c r="J129" s="255" t="s">
        <v>303</v>
      </c>
      <c r="K129" s="274"/>
      <c r="L129" s="270" t="s">
        <v>23</v>
      </c>
      <c r="M129" s="281"/>
    </row>
    <row r="130" ht="22.5" customHeight="1" spans="1:13">
      <c r="A130" s="281"/>
      <c r="B130" s="282"/>
      <c r="C130" s="285" t="s">
        <v>583</v>
      </c>
      <c r="D130" s="280" t="s">
        <v>584</v>
      </c>
      <c r="E130" s="280" t="s">
        <v>585</v>
      </c>
      <c r="F130" s="253" t="s">
        <v>554</v>
      </c>
      <c r="G130" s="263" t="s">
        <v>19</v>
      </c>
      <c r="H130" s="255" t="s">
        <v>302</v>
      </c>
      <c r="I130" s="288">
        <v>46357</v>
      </c>
      <c r="J130" s="255" t="s">
        <v>303</v>
      </c>
      <c r="K130" s="255" t="s">
        <v>142</v>
      </c>
      <c r="L130" s="270" t="s">
        <v>23</v>
      </c>
      <c r="M130" s="281"/>
    </row>
    <row r="131" ht="22.5" customHeight="1" spans="1:13">
      <c r="A131" s="281"/>
      <c r="B131" s="282"/>
      <c r="C131" s="285"/>
      <c r="D131" s="280" t="s">
        <v>586</v>
      </c>
      <c r="E131" s="280" t="s">
        <v>587</v>
      </c>
      <c r="F131" s="253" t="s">
        <v>564</v>
      </c>
      <c r="G131" s="263" t="s">
        <v>19</v>
      </c>
      <c r="H131" s="255" t="s">
        <v>302</v>
      </c>
      <c r="I131" s="288">
        <v>46357</v>
      </c>
      <c r="J131" s="255" t="s">
        <v>303</v>
      </c>
      <c r="K131" s="255" t="s">
        <v>142</v>
      </c>
      <c r="L131" s="270" t="s">
        <v>23</v>
      </c>
      <c r="M131" s="281"/>
    </row>
    <row r="132" ht="39" customHeight="1" spans="1:13">
      <c r="A132" s="281"/>
      <c r="B132" s="282"/>
      <c r="C132" s="285"/>
      <c r="D132" s="280" t="s">
        <v>588</v>
      </c>
      <c r="E132" s="280" t="s">
        <v>589</v>
      </c>
      <c r="F132" s="253" t="s">
        <v>554</v>
      </c>
      <c r="G132" s="263" t="s">
        <v>19</v>
      </c>
      <c r="H132" s="255" t="s">
        <v>302</v>
      </c>
      <c r="I132" s="288">
        <v>46357</v>
      </c>
      <c r="J132" s="255" t="s">
        <v>303</v>
      </c>
      <c r="K132" s="255" t="s">
        <v>142</v>
      </c>
      <c r="L132" s="270" t="s">
        <v>23</v>
      </c>
      <c r="M132" s="281"/>
    </row>
    <row r="133" ht="33" spans="1:13">
      <c r="A133" s="281"/>
      <c r="B133" s="282"/>
      <c r="C133" s="283" t="s">
        <v>590</v>
      </c>
      <c r="D133" s="280" t="s">
        <v>591</v>
      </c>
      <c r="E133" s="280" t="s">
        <v>592</v>
      </c>
      <c r="F133" s="253" t="s">
        <v>554</v>
      </c>
      <c r="G133" s="263" t="s">
        <v>19</v>
      </c>
      <c r="H133" s="255" t="s">
        <v>302</v>
      </c>
      <c r="I133" s="302">
        <v>45931</v>
      </c>
      <c r="J133" s="255" t="s">
        <v>303</v>
      </c>
      <c r="K133" s="255" t="s">
        <v>181</v>
      </c>
      <c r="L133" s="270" t="s">
        <v>23</v>
      </c>
      <c r="M133" s="281"/>
    </row>
    <row r="134" ht="22.5" customHeight="1" spans="1:13">
      <c r="A134" s="281"/>
      <c r="B134" s="282"/>
      <c r="C134" s="283"/>
      <c r="D134" s="280" t="s">
        <v>593</v>
      </c>
      <c r="E134" s="280" t="s">
        <v>594</v>
      </c>
      <c r="F134" s="253" t="s">
        <v>554</v>
      </c>
      <c r="G134" s="263" t="s">
        <v>19</v>
      </c>
      <c r="H134" s="255" t="s">
        <v>302</v>
      </c>
      <c r="I134" s="302">
        <v>45962</v>
      </c>
      <c r="J134" s="255" t="s">
        <v>303</v>
      </c>
      <c r="K134" s="255" t="s">
        <v>181</v>
      </c>
      <c r="L134" s="270" t="s">
        <v>23</v>
      </c>
      <c r="M134" s="303"/>
    </row>
    <row r="135" ht="39" customHeight="1" spans="1:13">
      <c r="A135" s="281"/>
      <c r="B135" s="282"/>
      <c r="C135" s="283"/>
      <c r="D135" s="280" t="s">
        <v>595</v>
      </c>
      <c r="E135" s="280" t="s">
        <v>596</v>
      </c>
      <c r="F135" s="253" t="s">
        <v>554</v>
      </c>
      <c r="G135" s="263" t="s">
        <v>19</v>
      </c>
      <c r="H135" s="255" t="s">
        <v>302</v>
      </c>
      <c r="I135" s="302">
        <v>45992</v>
      </c>
      <c r="J135" s="255" t="s">
        <v>303</v>
      </c>
      <c r="K135" s="255" t="s">
        <v>181</v>
      </c>
      <c r="L135" s="270" t="s">
        <v>23</v>
      </c>
      <c r="M135" s="304"/>
    </row>
    <row r="136" ht="39" customHeight="1" spans="1:13">
      <c r="A136" s="281"/>
      <c r="B136" s="282"/>
      <c r="C136" s="290" t="s">
        <v>597</v>
      </c>
      <c r="D136" s="291" t="s">
        <v>598</v>
      </c>
      <c r="E136" s="292" t="s">
        <v>599</v>
      </c>
      <c r="F136" s="253" t="s">
        <v>554</v>
      </c>
      <c r="G136" s="263" t="s">
        <v>19</v>
      </c>
      <c r="H136" s="255" t="s">
        <v>56</v>
      </c>
      <c r="I136" s="302">
        <v>45992</v>
      </c>
      <c r="J136" s="255" t="s">
        <v>346</v>
      </c>
      <c r="K136" s="272" t="s">
        <v>194</v>
      </c>
      <c r="L136" s="270" t="s">
        <v>23</v>
      </c>
      <c r="M136" s="304"/>
    </row>
    <row r="137" ht="39" customHeight="1" spans="1:13">
      <c r="A137" s="281"/>
      <c r="B137" s="282"/>
      <c r="C137" s="293"/>
      <c r="D137" s="291" t="s">
        <v>600</v>
      </c>
      <c r="E137" s="292" t="s">
        <v>601</v>
      </c>
      <c r="F137" s="253" t="s">
        <v>554</v>
      </c>
      <c r="G137" s="263" t="s">
        <v>19</v>
      </c>
      <c r="H137" s="255" t="s">
        <v>56</v>
      </c>
      <c r="I137" s="302">
        <v>45992</v>
      </c>
      <c r="J137" s="255" t="s">
        <v>346</v>
      </c>
      <c r="K137" s="273"/>
      <c r="L137" s="270" t="s">
        <v>23</v>
      </c>
      <c r="M137" s="304"/>
    </row>
    <row r="138" ht="39" customHeight="1" spans="1:13">
      <c r="A138" s="281"/>
      <c r="B138" s="282"/>
      <c r="C138" s="293"/>
      <c r="D138" s="291" t="s">
        <v>602</v>
      </c>
      <c r="E138" s="292" t="s">
        <v>603</v>
      </c>
      <c r="F138" s="253" t="s">
        <v>554</v>
      </c>
      <c r="G138" s="263" t="s">
        <v>19</v>
      </c>
      <c r="H138" s="255" t="s">
        <v>56</v>
      </c>
      <c r="I138" s="302">
        <v>45992</v>
      </c>
      <c r="J138" s="255" t="s">
        <v>346</v>
      </c>
      <c r="K138" s="273"/>
      <c r="L138" s="270" t="s">
        <v>23</v>
      </c>
      <c r="M138" s="304"/>
    </row>
    <row r="139" ht="39" customHeight="1" spans="1:13">
      <c r="A139" s="281"/>
      <c r="B139" s="282"/>
      <c r="C139" s="293"/>
      <c r="D139" s="292" t="s">
        <v>604</v>
      </c>
      <c r="E139" s="112" t="s">
        <v>605</v>
      </c>
      <c r="F139" s="253" t="s">
        <v>554</v>
      </c>
      <c r="G139" s="263" t="s">
        <v>19</v>
      </c>
      <c r="H139" s="255" t="s">
        <v>56</v>
      </c>
      <c r="I139" s="302">
        <v>45992</v>
      </c>
      <c r="J139" s="255" t="s">
        <v>346</v>
      </c>
      <c r="K139" s="273"/>
      <c r="L139" s="270" t="s">
        <v>23</v>
      </c>
      <c r="M139" s="304"/>
    </row>
    <row r="140" ht="39" customHeight="1" spans="1:13">
      <c r="A140" s="281"/>
      <c r="B140" s="282"/>
      <c r="C140" s="293"/>
      <c r="D140" s="292" t="s">
        <v>374</v>
      </c>
      <c r="E140" s="112" t="s">
        <v>606</v>
      </c>
      <c r="F140" s="253" t="s">
        <v>554</v>
      </c>
      <c r="G140" s="263" t="s">
        <v>19</v>
      </c>
      <c r="H140" s="255" t="s">
        <v>56</v>
      </c>
      <c r="I140" s="302">
        <v>45992</v>
      </c>
      <c r="J140" s="255" t="s">
        <v>346</v>
      </c>
      <c r="K140" s="273"/>
      <c r="L140" s="270" t="s">
        <v>23</v>
      </c>
      <c r="M140" s="304"/>
    </row>
    <row r="141" ht="39" customHeight="1" spans="1:13">
      <c r="A141" s="281"/>
      <c r="B141" s="282"/>
      <c r="C141" s="293"/>
      <c r="D141" s="292" t="s">
        <v>376</v>
      </c>
      <c r="E141" s="112" t="s">
        <v>607</v>
      </c>
      <c r="F141" s="253" t="s">
        <v>554</v>
      </c>
      <c r="G141" s="263" t="s">
        <v>19</v>
      </c>
      <c r="H141" s="255" t="s">
        <v>56</v>
      </c>
      <c r="I141" s="302">
        <v>45992</v>
      </c>
      <c r="J141" s="255" t="s">
        <v>346</v>
      </c>
      <c r="K141" s="273"/>
      <c r="L141" s="270" t="s">
        <v>23</v>
      </c>
      <c r="M141" s="304"/>
    </row>
    <row r="142" ht="39" customHeight="1" spans="1:13">
      <c r="A142" s="281"/>
      <c r="B142" s="282"/>
      <c r="C142" s="294"/>
      <c r="D142" s="291" t="s">
        <v>608</v>
      </c>
      <c r="E142" s="292" t="s">
        <v>609</v>
      </c>
      <c r="F142" s="253" t="s">
        <v>554</v>
      </c>
      <c r="G142" s="263" t="s">
        <v>19</v>
      </c>
      <c r="H142" s="255" t="s">
        <v>56</v>
      </c>
      <c r="I142" s="302">
        <v>45992</v>
      </c>
      <c r="J142" s="255" t="s">
        <v>346</v>
      </c>
      <c r="K142" s="273"/>
      <c r="L142" s="270" t="s">
        <v>23</v>
      </c>
      <c r="M142" s="304"/>
    </row>
    <row r="143" ht="39" customHeight="1" spans="1:13">
      <c r="A143" s="281"/>
      <c r="B143" s="282"/>
      <c r="C143" s="293" t="s">
        <v>354</v>
      </c>
      <c r="D143" s="291" t="s">
        <v>610</v>
      </c>
      <c r="E143" s="292" t="s">
        <v>611</v>
      </c>
      <c r="F143" s="253" t="s">
        <v>554</v>
      </c>
      <c r="G143" s="263" t="s">
        <v>19</v>
      </c>
      <c r="H143" s="255" t="s">
        <v>56</v>
      </c>
      <c r="I143" s="302">
        <v>45992</v>
      </c>
      <c r="J143" s="255" t="s">
        <v>346</v>
      </c>
      <c r="K143" s="272" t="s">
        <v>142</v>
      </c>
      <c r="L143" s="270" t="s">
        <v>23</v>
      </c>
      <c r="M143" s="304"/>
    </row>
    <row r="144" ht="39" customHeight="1" spans="1:13">
      <c r="A144" s="281"/>
      <c r="B144" s="282"/>
      <c r="C144" s="293"/>
      <c r="D144" s="291" t="s">
        <v>612</v>
      </c>
      <c r="E144" s="292" t="s">
        <v>613</v>
      </c>
      <c r="F144" s="253" t="s">
        <v>554</v>
      </c>
      <c r="G144" s="263" t="s">
        <v>19</v>
      </c>
      <c r="H144" s="255" t="s">
        <v>56</v>
      </c>
      <c r="I144" s="302">
        <v>45992</v>
      </c>
      <c r="J144" s="255" t="s">
        <v>346</v>
      </c>
      <c r="K144" s="272" t="s">
        <v>142</v>
      </c>
      <c r="L144" s="270" t="s">
        <v>23</v>
      </c>
      <c r="M144" s="304"/>
    </row>
    <row r="145" ht="39" customHeight="1" spans="1:13">
      <c r="A145" s="281"/>
      <c r="B145" s="282"/>
      <c r="C145" s="294"/>
      <c r="D145" s="291" t="s">
        <v>614</v>
      </c>
      <c r="E145" s="292" t="s">
        <v>615</v>
      </c>
      <c r="F145" s="253" t="s">
        <v>554</v>
      </c>
      <c r="G145" s="263" t="s">
        <v>19</v>
      </c>
      <c r="H145" s="255" t="s">
        <v>56</v>
      </c>
      <c r="I145" s="302">
        <v>45992</v>
      </c>
      <c r="J145" s="255" t="s">
        <v>346</v>
      </c>
      <c r="K145" s="272" t="s">
        <v>142</v>
      </c>
      <c r="L145" s="270" t="s">
        <v>23</v>
      </c>
      <c r="M145" s="304"/>
    </row>
    <row r="146" ht="22.5" customHeight="1" spans="1:13">
      <c r="A146" s="281"/>
      <c r="B146" s="282"/>
      <c r="C146" s="279" t="s">
        <v>616</v>
      </c>
      <c r="D146" s="284" t="s">
        <v>617</v>
      </c>
      <c r="E146" s="252" t="s">
        <v>618</v>
      </c>
      <c r="F146" s="253" t="s">
        <v>582</v>
      </c>
      <c r="G146" s="263" t="s">
        <v>309</v>
      </c>
      <c r="H146" s="255" t="s">
        <v>56</v>
      </c>
      <c r="I146" s="302">
        <v>45992</v>
      </c>
      <c r="J146" s="255" t="s">
        <v>346</v>
      </c>
      <c r="K146" s="272" t="s">
        <v>619</v>
      </c>
      <c r="L146" s="270" t="s">
        <v>23</v>
      </c>
      <c r="M146" s="304"/>
    </row>
    <row r="147" ht="22.5" customHeight="1" spans="1:13">
      <c r="A147" s="281"/>
      <c r="B147" s="282"/>
      <c r="C147" s="279"/>
      <c r="D147" s="284" t="s">
        <v>620</v>
      </c>
      <c r="E147" s="252" t="s">
        <v>621</v>
      </c>
      <c r="F147" s="253" t="s">
        <v>582</v>
      </c>
      <c r="G147" s="263" t="s">
        <v>309</v>
      </c>
      <c r="H147" s="255" t="s">
        <v>56</v>
      </c>
      <c r="I147" s="302">
        <v>45992</v>
      </c>
      <c r="J147" s="255" t="s">
        <v>346</v>
      </c>
      <c r="K147" s="273"/>
      <c r="L147" s="270" t="s">
        <v>23</v>
      </c>
      <c r="M147" s="304"/>
    </row>
    <row r="148" ht="22.5" customHeight="1" spans="1:13">
      <c r="A148" s="281"/>
      <c r="B148" s="282"/>
      <c r="C148" s="279"/>
      <c r="D148" s="284" t="s">
        <v>622</v>
      </c>
      <c r="E148" s="252" t="s">
        <v>623</v>
      </c>
      <c r="F148" s="253" t="s">
        <v>582</v>
      </c>
      <c r="G148" s="263" t="s">
        <v>309</v>
      </c>
      <c r="H148" s="255" t="s">
        <v>56</v>
      </c>
      <c r="I148" s="302">
        <v>45992</v>
      </c>
      <c r="J148" s="255" t="s">
        <v>346</v>
      </c>
      <c r="K148" s="273"/>
      <c r="L148" s="270" t="s">
        <v>23</v>
      </c>
      <c r="M148" s="304"/>
    </row>
    <row r="149" ht="22.5" customHeight="1" spans="1:13">
      <c r="A149" s="281"/>
      <c r="B149" s="282"/>
      <c r="C149" s="279"/>
      <c r="D149" s="284" t="s">
        <v>624</v>
      </c>
      <c r="E149" s="252" t="s">
        <v>625</v>
      </c>
      <c r="F149" s="253" t="s">
        <v>582</v>
      </c>
      <c r="G149" s="263" t="s">
        <v>309</v>
      </c>
      <c r="H149" s="255" t="s">
        <v>56</v>
      </c>
      <c r="I149" s="302">
        <v>45992</v>
      </c>
      <c r="J149" s="255" t="s">
        <v>346</v>
      </c>
      <c r="K149" s="273"/>
      <c r="L149" s="270" t="s">
        <v>23</v>
      </c>
      <c r="M149" s="304"/>
    </row>
    <row r="150" ht="22.5" customHeight="1" spans="1:13">
      <c r="A150" s="281"/>
      <c r="B150" s="282"/>
      <c r="C150" s="279"/>
      <c r="D150" s="284" t="s">
        <v>626</v>
      </c>
      <c r="E150" s="252" t="s">
        <v>627</v>
      </c>
      <c r="F150" s="253" t="s">
        <v>582</v>
      </c>
      <c r="G150" s="263" t="s">
        <v>309</v>
      </c>
      <c r="H150" s="255" t="s">
        <v>56</v>
      </c>
      <c r="I150" s="302">
        <v>45992</v>
      </c>
      <c r="J150" s="255" t="s">
        <v>346</v>
      </c>
      <c r="K150" s="273"/>
      <c r="L150" s="270" t="s">
        <v>23</v>
      </c>
      <c r="M150" s="304"/>
    </row>
    <row r="151" ht="22.5" customHeight="1" spans="1:13">
      <c r="A151" s="281"/>
      <c r="B151" s="282"/>
      <c r="C151" s="279"/>
      <c r="D151" s="284" t="s">
        <v>628</v>
      </c>
      <c r="E151" s="252" t="s">
        <v>629</v>
      </c>
      <c r="F151" s="253" t="s">
        <v>582</v>
      </c>
      <c r="G151" s="263" t="s">
        <v>309</v>
      </c>
      <c r="H151" s="255" t="s">
        <v>56</v>
      </c>
      <c r="I151" s="302">
        <v>45992</v>
      </c>
      <c r="J151" s="255" t="s">
        <v>346</v>
      </c>
      <c r="K151" s="273"/>
      <c r="L151" s="270" t="s">
        <v>23</v>
      </c>
      <c r="M151" s="304"/>
    </row>
    <row r="152" ht="22.5" customHeight="1" spans="1:13">
      <c r="A152" s="281"/>
      <c r="B152" s="282"/>
      <c r="C152" s="279"/>
      <c r="D152" s="284" t="s">
        <v>630</v>
      </c>
      <c r="E152" s="252" t="s">
        <v>631</v>
      </c>
      <c r="F152" s="253" t="s">
        <v>582</v>
      </c>
      <c r="G152" s="263" t="s">
        <v>309</v>
      </c>
      <c r="H152" s="255" t="s">
        <v>56</v>
      </c>
      <c r="I152" s="302">
        <v>45992</v>
      </c>
      <c r="J152" s="255" t="s">
        <v>346</v>
      </c>
      <c r="K152" s="273"/>
      <c r="L152" s="270" t="s">
        <v>23</v>
      </c>
      <c r="M152" s="304"/>
    </row>
    <row r="153" ht="22.5" customHeight="1" spans="1:13">
      <c r="A153" s="281"/>
      <c r="B153" s="282"/>
      <c r="C153" s="279"/>
      <c r="D153" s="284" t="s">
        <v>632</v>
      </c>
      <c r="E153" s="252" t="s">
        <v>633</v>
      </c>
      <c r="F153" s="253" t="s">
        <v>582</v>
      </c>
      <c r="G153" s="263" t="s">
        <v>309</v>
      </c>
      <c r="H153" s="255" t="s">
        <v>56</v>
      </c>
      <c r="I153" s="302">
        <v>45992</v>
      </c>
      <c r="J153" s="255" t="s">
        <v>346</v>
      </c>
      <c r="K153" s="273"/>
      <c r="L153" s="270" t="s">
        <v>23</v>
      </c>
      <c r="M153" s="304"/>
    </row>
    <row r="154" ht="22.5" customHeight="1" spans="1:13">
      <c r="A154" s="281"/>
      <c r="B154" s="282"/>
      <c r="C154" s="279"/>
      <c r="D154" s="284" t="s">
        <v>634</v>
      </c>
      <c r="E154" s="252" t="s">
        <v>635</v>
      </c>
      <c r="F154" s="253" t="s">
        <v>582</v>
      </c>
      <c r="G154" s="263" t="s">
        <v>309</v>
      </c>
      <c r="H154" s="255" t="s">
        <v>56</v>
      </c>
      <c r="I154" s="302">
        <v>45992</v>
      </c>
      <c r="J154" s="255" t="s">
        <v>346</v>
      </c>
      <c r="K154" s="273"/>
      <c r="L154" s="270" t="s">
        <v>23</v>
      </c>
      <c r="M154" s="304"/>
    </row>
    <row r="155" ht="22.5" customHeight="1" spans="1:13">
      <c r="A155" s="281"/>
      <c r="B155" s="282"/>
      <c r="C155" s="279"/>
      <c r="D155" s="284" t="s">
        <v>636</v>
      </c>
      <c r="E155" s="252" t="s">
        <v>637</v>
      </c>
      <c r="F155" s="253" t="s">
        <v>582</v>
      </c>
      <c r="G155" s="263" t="s">
        <v>309</v>
      </c>
      <c r="H155" s="255" t="s">
        <v>56</v>
      </c>
      <c r="I155" s="302">
        <v>45992</v>
      </c>
      <c r="J155" s="255" t="s">
        <v>346</v>
      </c>
      <c r="K155" s="273"/>
      <c r="L155" s="270" t="s">
        <v>23</v>
      </c>
      <c r="M155" s="304"/>
    </row>
    <row r="156" ht="22.5" customHeight="1" spans="1:13">
      <c r="A156" s="281"/>
      <c r="B156" s="282"/>
      <c r="C156" s="279"/>
      <c r="D156" s="284" t="s">
        <v>638</v>
      </c>
      <c r="E156" s="252" t="s">
        <v>639</v>
      </c>
      <c r="F156" s="253" t="s">
        <v>582</v>
      </c>
      <c r="G156" s="263" t="s">
        <v>309</v>
      </c>
      <c r="H156" s="255" t="s">
        <v>56</v>
      </c>
      <c r="I156" s="302">
        <v>45992</v>
      </c>
      <c r="J156" s="255" t="s">
        <v>346</v>
      </c>
      <c r="K156" s="273"/>
      <c r="L156" s="270" t="s">
        <v>23</v>
      </c>
      <c r="M156" s="304"/>
    </row>
    <row r="157" ht="22.5" customHeight="1" spans="1:13">
      <c r="A157" s="281"/>
      <c r="B157" s="282"/>
      <c r="C157" s="279"/>
      <c r="D157" s="284" t="s">
        <v>640</v>
      </c>
      <c r="E157" s="252" t="s">
        <v>641</v>
      </c>
      <c r="F157" s="253" t="s">
        <v>582</v>
      </c>
      <c r="G157" s="263" t="s">
        <v>309</v>
      </c>
      <c r="H157" s="255" t="s">
        <v>56</v>
      </c>
      <c r="I157" s="302">
        <v>45992</v>
      </c>
      <c r="J157" s="255" t="s">
        <v>346</v>
      </c>
      <c r="K157" s="273"/>
      <c r="L157" s="270" t="s">
        <v>23</v>
      </c>
      <c r="M157" s="304"/>
    </row>
    <row r="158" ht="22.5" customHeight="1" spans="1:13">
      <c r="A158" s="281"/>
      <c r="B158" s="282"/>
      <c r="C158" s="279"/>
      <c r="D158" s="284" t="s">
        <v>642</v>
      </c>
      <c r="E158" s="252" t="s">
        <v>643</v>
      </c>
      <c r="F158" s="253" t="s">
        <v>582</v>
      </c>
      <c r="G158" s="263" t="s">
        <v>309</v>
      </c>
      <c r="H158" s="255" t="s">
        <v>56</v>
      </c>
      <c r="I158" s="302">
        <v>45992</v>
      </c>
      <c r="J158" s="255" t="s">
        <v>346</v>
      </c>
      <c r="K158" s="273"/>
      <c r="L158" s="270" t="s">
        <v>23</v>
      </c>
      <c r="M158" s="304"/>
    </row>
    <row r="159" ht="22.5" customHeight="1" spans="1:13">
      <c r="A159" s="281"/>
      <c r="B159" s="282"/>
      <c r="C159" s="279"/>
      <c r="D159" s="284" t="s">
        <v>644</v>
      </c>
      <c r="E159" s="252" t="s">
        <v>645</v>
      </c>
      <c r="F159" s="253" t="s">
        <v>582</v>
      </c>
      <c r="G159" s="263" t="s">
        <v>309</v>
      </c>
      <c r="H159" s="255" t="s">
        <v>56</v>
      </c>
      <c r="I159" s="302">
        <v>45992</v>
      </c>
      <c r="J159" s="255" t="s">
        <v>346</v>
      </c>
      <c r="K159" s="273"/>
      <c r="L159" s="270" t="s">
        <v>23</v>
      </c>
      <c r="M159" s="304"/>
    </row>
    <row r="160" ht="22.5" customHeight="1" spans="1:13">
      <c r="A160" s="281"/>
      <c r="B160" s="282"/>
      <c r="C160" s="279"/>
      <c r="D160" s="284" t="s">
        <v>646</v>
      </c>
      <c r="E160" s="252" t="s">
        <v>647</v>
      </c>
      <c r="F160" s="253" t="s">
        <v>582</v>
      </c>
      <c r="G160" s="263" t="s">
        <v>309</v>
      </c>
      <c r="H160" s="255" t="s">
        <v>56</v>
      </c>
      <c r="I160" s="302">
        <v>45992</v>
      </c>
      <c r="J160" s="255" t="s">
        <v>346</v>
      </c>
      <c r="K160" s="273"/>
      <c r="L160" s="270" t="s">
        <v>23</v>
      </c>
      <c r="M160" s="304"/>
    </row>
    <row r="161" ht="22.5" customHeight="1" spans="1:13">
      <c r="A161" s="281"/>
      <c r="B161" s="282"/>
      <c r="C161" s="279"/>
      <c r="D161" s="284" t="s">
        <v>648</v>
      </c>
      <c r="E161" s="252" t="s">
        <v>649</v>
      </c>
      <c r="F161" s="253" t="s">
        <v>582</v>
      </c>
      <c r="G161" s="263" t="s">
        <v>309</v>
      </c>
      <c r="H161" s="255" t="s">
        <v>56</v>
      </c>
      <c r="I161" s="302">
        <v>45992</v>
      </c>
      <c r="J161" s="255" t="s">
        <v>346</v>
      </c>
      <c r="K161" s="274"/>
      <c r="L161" s="270" t="s">
        <v>23</v>
      </c>
      <c r="M161" s="304"/>
    </row>
    <row r="162" ht="22.5" customHeight="1" spans="1:13">
      <c r="A162" s="281"/>
      <c r="B162" s="295"/>
      <c r="C162" s="279" t="s">
        <v>650</v>
      </c>
      <c r="D162" s="284" t="s">
        <v>651</v>
      </c>
      <c r="E162" s="252" t="s">
        <v>652</v>
      </c>
      <c r="F162" s="253" t="s">
        <v>582</v>
      </c>
      <c r="G162" s="263" t="s">
        <v>309</v>
      </c>
      <c r="H162" s="255" t="s">
        <v>56</v>
      </c>
      <c r="I162" s="302">
        <v>45992</v>
      </c>
      <c r="J162" s="255" t="s">
        <v>346</v>
      </c>
      <c r="K162" s="255" t="s">
        <v>28</v>
      </c>
      <c r="L162" s="270" t="s">
        <v>23</v>
      </c>
      <c r="M162" s="304"/>
    </row>
    <row r="163" s="240" customFormat="1" spans="5:7">
      <c r="E163" s="296"/>
      <c r="G163" s="297"/>
    </row>
    <row r="164" s="241" customFormat="1" ht="63" customHeight="1" spans="3:7">
      <c r="C164" s="298" t="s">
        <v>653</v>
      </c>
      <c r="D164" s="299"/>
      <c r="E164" s="299"/>
      <c r="F164" s="299"/>
      <c r="G164" s="299"/>
    </row>
    <row r="165" s="241" customFormat="1" spans="5:7">
      <c r="E165" s="300"/>
      <c r="G165" s="301"/>
    </row>
    <row r="166" s="241" customFormat="1" spans="5:7">
      <c r="E166" s="300"/>
      <c r="G166" s="301"/>
    </row>
    <row r="167" s="241" customFormat="1" ht="16.5" spans="5:11">
      <c r="E167" s="300"/>
      <c r="G167" s="301"/>
      <c r="H167" s="255" t="s">
        <v>26</v>
      </c>
      <c r="K167" s="241" t="s">
        <v>654</v>
      </c>
    </row>
    <row r="168" s="241" customFormat="1" ht="16.5" spans="5:11">
      <c r="E168" s="300"/>
      <c r="G168" s="301"/>
      <c r="H168" s="255" t="s">
        <v>20</v>
      </c>
      <c r="K168" s="241" t="s">
        <v>655</v>
      </c>
    </row>
    <row r="169" s="241" customFormat="1" ht="16.5" spans="5:11">
      <c r="E169" s="300"/>
      <c r="G169" s="301"/>
      <c r="H169" s="255" t="s">
        <v>56</v>
      </c>
      <c r="K169" s="241" t="s">
        <v>656</v>
      </c>
    </row>
    <row r="170" s="241" customFormat="1" ht="16.5" spans="5:11">
      <c r="E170" s="300"/>
      <c r="G170" s="301"/>
      <c r="H170" s="255" t="s">
        <v>302</v>
      </c>
      <c r="K170" s="241" t="s">
        <v>657</v>
      </c>
    </row>
    <row r="171" s="241" customFormat="1" spans="5:7">
      <c r="E171" s="300"/>
      <c r="G171" s="301"/>
    </row>
    <row r="172" s="241" customFormat="1" spans="5:7">
      <c r="E172" s="300"/>
      <c r="G172" s="301"/>
    </row>
    <row r="173" s="241" customFormat="1" spans="5:7">
      <c r="E173" s="300"/>
      <c r="G173" s="301"/>
    </row>
    <row r="174" s="241" customFormat="1" spans="5:7">
      <c r="E174" s="300"/>
      <c r="G174" s="301"/>
    </row>
    <row r="175" s="241" customFormat="1" spans="5:7">
      <c r="E175" s="300"/>
      <c r="G175" s="301"/>
    </row>
    <row r="176" s="241" customFormat="1" spans="5:7">
      <c r="E176" s="300"/>
      <c r="G176" s="301"/>
    </row>
    <row r="177" s="241" customFormat="1" spans="5:7">
      <c r="E177" s="300"/>
      <c r="G177" s="301"/>
    </row>
    <row r="178" s="241" customFormat="1" spans="5:7">
      <c r="E178" s="300"/>
      <c r="G178" s="301"/>
    </row>
    <row r="179" s="241" customFormat="1" spans="5:7">
      <c r="E179" s="300"/>
      <c r="G179" s="301"/>
    </row>
    <row r="180" s="241" customFormat="1" spans="5:7">
      <c r="E180" s="300"/>
      <c r="G180" s="301"/>
    </row>
    <row r="181" s="241" customFormat="1" spans="5:7">
      <c r="E181" s="300"/>
      <c r="G181" s="301"/>
    </row>
    <row r="182" s="241" customFormat="1" spans="5:7">
      <c r="E182" s="300"/>
      <c r="G182" s="301"/>
    </row>
    <row r="183" s="241" customFormat="1" spans="5:7">
      <c r="E183" s="300"/>
      <c r="G183" s="301"/>
    </row>
    <row r="184" s="241" customFormat="1" spans="5:7">
      <c r="E184" s="300"/>
      <c r="G184" s="301"/>
    </row>
    <row r="185" s="241" customFormat="1" spans="5:7">
      <c r="E185" s="300"/>
      <c r="G185" s="301"/>
    </row>
    <row r="186" s="241" customFormat="1" spans="5:7">
      <c r="E186" s="300"/>
      <c r="G186" s="301"/>
    </row>
    <row r="187" s="241" customFormat="1" spans="5:7">
      <c r="E187" s="300"/>
      <c r="G187" s="301"/>
    </row>
    <row r="188" s="241" customFormat="1" spans="5:7">
      <c r="E188" s="300"/>
      <c r="G188" s="301"/>
    </row>
    <row r="189" s="241" customFormat="1" spans="5:7">
      <c r="E189" s="300"/>
      <c r="G189" s="301"/>
    </row>
    <row r="190" s="241" customFormat="1" spans="5:7">
      <c r="E190" s="300"/>
      <c r="G190" s="301"/>
    </row>
    <row r="191" s="241" customFormat="1" spans="5:7">
      <c r="E191" s="300"/>
      <c r="G191" s="301"/>
    </row>
    <row r="192" s="241" customFormat="1" spans="5:7">
      <c r="E192" s="300"/>
      <c r="G192" s="301"/>
    </row>
    <row r="193" s="241" customFormat="1" spans="5:7">
      <c r="E193" s="300"/>
      <c r="G193" s="301"/>
    </row>
    <row r="194" s="241" customFormat="1" spans="5:7">
      <c r="E194" s="300"/>
      <c r="G194" s="301"/>
    </row>
    <row r="195" s="241" customFormat="1" spans="5:7">
      <c r="E195" s="300"/>
      <c r="G195" s="301"/>
    </row>
    <row r="196" s="241" customFormat="1" spans="5:7">
      <c r="E196" s="300"/>
      <c r="G196" s="301"/>
    </row>
    <row r="197" s="241" customFormat="1" spans="5:7">
      <c r="E197" s="300"/>
      <c r="G197" s="301"/>
    </row>
    <row r="198" s="241" customFormat="1" spans="5:7">
      <c r="E198" s="300"/>
      <c r="G198" s="301"/>
    </row>
    <row r="199" s="241" customFormat="1" spans="5:7">
      <c r="E199" s="300"/>
      <c r="G199" s="301"/>
    </row>
    <row r="200" s="241" customFormat="1" spans="5:7">
      <c r="E200" s="300"/>
      <c r="G200" s="301"/>
    </row>
    <row r="201" s="241" customFormat="1" spans="5:7">
      <c r="E201" s="300"/>
      <c r="G201" s="301"/>
    </row>
    <row r="202" s="241" customFormat="1" spans="5:7">
      <c r="E202" s="300"/>
      <c r="G202" s="301"/>
    </row>
    <row r="203" s="241" customFormat="1" spans="5:7">
      <c r="E203" s="300"/>
      <c r="G203" s="301"/>
    </row>
    <row r="204" s="241" customFormat="1" spans="5:7">
      <c r="E204" s="300"/>
      <c r="G204" s="301"/>
    </row>
    <row r="205" s="241" customFormat="1" spans="5:7">
      <c r="E205" s="300"/>
      <c r="G205" s="301"/>
    </row>
    <row r="206" s="241" customFormat="1" spans="5:7">
      <c r="E206" s="300"/>
      <c r="G206" s="301"/>
    </row>
    <row r="207" s="242" customFormat="1" spans="5:29">
      <c r="E207" s="305"/>
      <c r="G207" s="306"/>
      <c r="AC207" s="307"/>
    </row>
  </sheetData>
  <autoFilter xmlns:etc="http://www.wps.cn/officeDocument/2017/etCustomData" ref="H1:H207" etc:filterBottomFollowUsedRange="0">
    <extLst/>
  </autoFilter>
  <mergeCells count="73">
    <mergeCell ref="C164:G164"/>
    <mergeCell ref="A2:A5"/>
    <mergeCell ref="A6:A117"/>
    <mergeCell ref="A118:A162"/>
    <mergeCell ref="B2:B5"/>
    <mergeCell ref="B6:B31"/>
    <mergeCell ref="B32:B40"/>
    <mergeCell ref="B41:B46"/>
    <mergeCell ref="B47:B59"/>
    <mergeCell ref="B60:B63"/>
    <mergeCell ref="B64:B67"/>
    <mergeCell ref="B68:B69"/>
    <mergeCell ref="B70:B88"/>
    <mergeCell ref="B89:B117"/>
    <mergeCell ref="B118:B162"/>
    <mergeCell ref="C2:C5"/>
    <mergeCell ref="C6:C16"/>
    <mergeCell ref="C17:C24"/>
    <mergeCell ref="C28:C29"/>
    <mergeCell ref="C30:C31"/>
    <mergeCell ref="C32:C40"/>
    <mergeCell ref="C41:C46"/>
    <mergeCell ref="C47:C52"/>
    <mergeCell ref="C53:C58"/>
    <mergeCell ref="C60:C63"/>
    <mergeCell ref="C65:C67"/>
    <mergeCell ref="C68:C69"/>
    <mergeCell ref="C70:C75"/>
    <mergeCell ref="C76:C80"/>
    <mergeCell ref="C81:C82"/>
    <mergeCell ref="C83:C85"/>
    <mergeCell ref="C86:C87"/>
    <mergeCell ref="C89:C91"/>
    <mergeCell ref="C92:C105"/>
    <mergeCell ref="C106:C117"/>
    <mergeCell ref="C118:C121"/>
    <mergeCell ref="C122:C125"/>
    <mergeCell ref="C127:C129"/>
    <mergeCell ref="C130:C132"/>
    <mergeCell ref="C133:C135"/>
    <mergeCell ref="C136:C142"/>
    <mergeCell ref="C143:C145"/>
    <mergeCell ref="C146:C161"/>
    <mergeCell ref="D6:D10"/>
    <mergeCell ref="D11:D14"/>
    <mergeCell ref="D17:D21"/>
    <mergeCell ref="D45:D46"/>
    <mergeCell ref="D92:D105"/>
    <mergeCell ref="E47:E48"/>
    <mergeCell ref="E49:E50"/>
    <mergeCell ref="E51:E52"/>
    <mergeCell ref="K41:K42"/>
    <mergeCell ref="K47:K51"/>
    <mergeCell ref="K53:K56"/>
    <mergeCell ref="K65:K66"/>
    <mergeCell ref="K68:K73"/>
    <mergeCell ref="K74:K80"/>
    <mergeCell ref="K84:K85"/>
    <mergeCell ref="K86:K87"/>
    <mergeCell ref="K89:K90"/>
    <mergeCell ref="K92:K105"/>
    <mergeCell ref="K106:K117"/>
    <mergeCell ref="K118:K120"/>
    <mergeCell ref="K127:K129"/>
    <mergeCell ref="K136:K142"/>
    <mergeCell ref="K146:K161"/>
    <mergeCell ref="M2:M5"/>
    <mergeCell ref="M65:M67"/>
    <mergeCell ref="M68:M69"/>
    <mergeCell ref="M86:M87"/>
    <mergeCell ref="M92:M105"/>
    <mergeCell ref="M106:M117"/>
    <mergeCell ref="M127:M134"/>
  </mergeCells>
  <dataValidations count="2">
    <dataValidation type="list" allowBlank="1" showInputMessage="1" showErrorMessage="1" sqref="H$1:H$1048576">
      <formula1>"2023年度,2024年度,2025年度,2026年度,已有"</formula1>
    </dataValidation>
    <dataValidation type="list" allowBlank="1" showInputMessage="1" showErrorMessage="1" sqref="J2:J162">
      <formula1>"MxSim.Emag V1.0.0,MxSim.Emag V2.0.0,MxSim.Emag V3.0.0,MxSim.Emag V4.0.0"</formula1>
    </dataValidation>
  </dataValidations>
  <pageMargins left="0.75" right="0.75" top="1" bottom="1" header="0.5" footer="0.5"/>
  <pageSetup paperSize="9" orientation="portrait"/>
  <headerFooter alignWithMargins="0">
    <oddHeader>&amp;L&amp;G&amp;C&amp;F&amp;R文档密级</oddHeader>
    <oddFooter>&amp;L&amp;D&amp;C华为机密，未经许可不得扩散&amp;R第&amp;P页，共&amp;N页</oddFooter>
  </headerFooter>
  <ignoredErrors>
    <ignoredError sqref="H147:H166 H121 H126 H173:H1048573 H84:H88 H80:H82 H74:H75 H64:H67 H55:H56 H53 H51 H49 H44 H41:H42 H33:H37 H20:H31 H14:H16 H12 H10 H1:H3 H46:H47" listDataValidation="1"/>
  </ignoredErrors>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D4"/>
  <sheetViews>
    <sheetView workbookViewId="0">
      <selection activeCell="D6" sqref="D6"/>
    </sheetView>
  </sheetViews>
  <sheetFormatPr defaultColWidth="9" defaultRowHeight="14.25" outlineLevelRow="3" outlineLevelCol="3"/>
  <cols>
    <col min="1" max="3" width="15.8833333333333" style="101" customWidth="1"/>
    <col min="4" max="4" width="69.8833333333333" style="101" customWidth="1"/>
    <col min="5" max="16384" width="9" style="101"/>
  </cols>
  <sheetData>
    <row r="1" spans="1:4">
      <c r="A1" s="232" t="s">
        <v>658</v>
      </c>
      <c r="B1" s="232" t="s">
        <v>659</v>
      </c>
      <c r="C1" s="232" t="s">
        <v>660</v>
      </c>
      <c r="D1" s="233" t="s">
        <v>661</v>
      </c>
    </row>
    <row r="2" ht="103" customHeight="1" spans="1:4">
      <c r="A2" s="234"/>
      <c r="B2" s="235"/>
      <c r="C2" s="236"/>
      <c r="D2" s="237" t="s">
        <v>662</v>
      </c>
    </row>
    <row r="3" ht="41" customHeight="1" spans="1:4">
      <c r="A3" s="235"/>
      <c r="B3" s="235"/>
      <c r="C3" s="236"/>
      <c r="D3" s="235"/>
    </row>
    <row r="4" ht="176" customHeight="1" spans="1:4">
      <c r="A4" s="238"/>
      <c r="B4" s="237"/>
      <c r="C4" s="239"/>
      <c r="D4" s="9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1:P12"/>
  <sheetViews>
    <sheetView workbookViewId="0">
      <selection activeCell="L22" sqref="L22"/>
    </sheetView>
  </sheetViews>
  <sheetFormatPr defaultColWidth="9" defaultRowHeight="14.25"/>
  <cols>
    <col min="1" max="1" width="9" style="101"/>
    <col min="2" max="2" width="11.6333333333333" style="228" customWidth="1"/>
    <col min="3" max="3" width="13.75" style="228" customWidth="1"/>
    <col min="4" max="4" width="15.3833333333333" style="228" customWidth="1"/>
    <col min="5" max="5" width="10.1333333333333" style="228" customWidth="1"/>
    <col min="6" max="7" width="7.63333333333333" style="228" customWidth="1"/>
    <col min="8" max="8" width="11.1333333333333" style="228" customWidth="1"/>
    <col min="9" max="9" width="18.6333333333333" style="228" customWidth="1"/>
    <col min="10" max="10" width="9.63333333333333" style="228" customWidth="1"/>
    <col min="11" max="13" width="9" style="101"/>
    <col min="14" max="14" width="13.75" style="101" customWidth="1"/>
    <col min="15" max="15" width="9.13333333333333" style="101" customWidth="1"/>
    <col min="16" max="16" width="11.8833333333333" style="101" customWidth="1"/>
    <col min="17" max="16384" width="9" style="101"/>
  </cols>
  <sheetData>
    <row r="1" spans="12:16">
      <c r="L1" s="95"/>
      <c r="M1" s="95"/>
      <c r="N1" s="95" t="s">
        <v>663</v>
      </c>
      <c r="O1" s="210">
        <v>1</v>
      </c>
      <c r="P1" s="95">
        <v>1</v>
      </c>
    </row>
    <row r="2" spans="12:16">
      <c r="L2" s="95" t="s">
        <v>664</v>
      </c>
      <c r="M2" s="95" t="s">
        <v>665</v>
      </c>
      <c r="N2" s="95" t="s">
        <v>666</v>
      </c>
      <c r="O2" s="210">
        <v>2</v>
      </c>
      <c r="P2" s="210">
        <v>1.1</v>
      </c>
    </row>
    <row r="3" spans="12:16">
      <c r="L3" s="95"/>
      <c r="M3" s="95" t="s">
        <v>667</v>
      </c>
      <c r="N3" s="95" t="s">
        <v>668</v>
      </c>
      <c r="O3" s="210">
        <v>3</v>
      </c>
      <c r="P3" s="210">
        <v>1.2</v>
      </c>
    </row>
    <row r="4" spans="12:16">
      <c r="L4" s="95"/>
      <c r="M4" s="95"/>
      <c r="N4" s="95" t="s">
        <v>669</v>
      </c>
      <c r="O4" s="210">
        <v>4</v>
      </c>
      <c r="P4" s="210">
        <v>1.3</v>
      </c>
    </row>
    <row r="6" spans="2:10">
      <c r="B6" s="229" t="s">
        <v>670</v>
      </c>
      <c r="C6" s="229" t="s">
        <v>671</v>
      </c>
      <c r="D6" s="229" t="s">
        <v>672</v>
      </c>
      <c r="E6" s="230" t="s">
        <v>673</v>
      </c>
      <c r="F6" s="229"/>
      <c r="G6" s="229" t="s">
        <v>670</v>
      </c>
      <c r="H6" s="229" t="s">
        <v>671</v>
      </c>
      <c r="I6" s="229" t="s">
        <v>672</v>
      </c>
      <c r="J6" s="230" t="s">
        <v>673</v>
      </c>
    </row>
    <row r="7" spans="2:10">
      <c r="B7" s="229" t="s">
        <v>674</v>
      </c>
      <c r="C7" s="166">
        <v>1</v>
      </c>
      <c r="D7" s="92" t="e">
        <f>COUNTIF('2026Q1'!#REF!,1)</f>
        <v>#REF!</v>
      </c>
      <c r="E7" s="229" t="e">
        <f>D7*$P$1</f>
        <v>#REF!</v>
      </c>
      <c r="F7" s="229"/>
      <c r="G7" s="229" t="s">
        <v>675</v>
      </c>
      <c r="H7" s="166">
        <v>1</v>
      </c>
      <c r="I7" s="166" t="e">
        <f>COUNTIF(#REF!,1)</f>
        <v>#REF!</v>
      </c>
      <c r="J7" s="229" t="e">
        <f>I7*$P$1</f>
        <v>#REF!</v>
      </c>
    </row>
    <row r="8" spans="2:10">
      <c r="B8" s="229"/>
      <c r="C8" s="166">
        <v>2</v>
      </c>
      <c r="D8" s="92" t="e">
        <f>COUNTIF('2026Q1'!#REF!,2)</f>
        <v>#REF!</v>
      </c>
      <c r="E8" s="229" t="e">
        <f>D8*$P$2</f>
        <v>#REF!</v>
      </c>
      <c r="F8" s="229"/>
      <c r="G8" s="229"/>
      <c r="H8" s="166">
        <v>2</v>
      </c>
      <c r="I8" s="166" t="e">
        <f>COUNTIF(#REF!,2)</f>
        <v>#REF!</v>
      </c>
      <c r="J8" s="229" t="e">
        <f>I8*$P$2</f>
        <v>#REF!</v>
      </c>
    </row>
    <row r="9" spans="2:10">
      <c r="B9" s="229"/>
      <c r="C9" s="166">
        <v>3</v>
      </c>
      <c r="D9" s="92" t="e">
        <f>COUNTIF('2026Q1'!#REF!,3)</f>
        <v>#REF!</v>
      </c>
      <c r="E9" s="229" t="e">
        <f>D9*$P$3</f>
        <v>#REF!</v>
      </c>
      <c r="F9" s="229"/>
      <c r="G9" s="229"/>
      <c r="H9" s="166">
        <v>3</v>
      </c>
      <c r="I9" s="166" t="e">
        <f>COUNTIF(#REF!,3)</f>
        <v>#REF!</v>
      </c>
      <c r="J9" s="229" t="e">
        <f>I9*$P$3</f>
        <v>#REF!</v>
      </c>
    </row>
    <row r="10" spans="2:10">
      <c r="B10" s="229"/>
      <c r="C10" s="166">
        <v>4</v>
      </c>
      <c r="D10" s="92" t="e">
        <f>COUNTIF('2026Q1'!#REF!,4)</f>
        <v>#REF!</v>
      </c>
      <c r="E10" s="229" t="e">
        <f>D10*$P$4</f>
        <v>#REF!</v>
      </c>
      <c r="F10" s="229"/>
      <c r="G10" s="229"/>
      <c r="H10" s="166">
        <v>4</v>
      </c>
      <c r="I10" s="166" t="e">
        <f>COUNTIF(#REF!,4)</f>
        <v>#REF!</v>
      </c>
      <c r="J10" s="229" t="e">
        <f>I10*$P$4</f>
        <v>#REF!</v>
      </c>
    </row>
    <row r="11" spans="2:10">
      <c r="B11" s="229" t="s">
        <v>676</v>
      </c>
      <c r="C11" s="229"/>
      <c r="D11" s="92" t="e">
        <f t="shared" ref="D11:J11" si="0">SUM(D7:D10)</f>
        <v>#REF!</v>
      </c>
      <c r="E11" s="229" t="e">
        <f t="shared" si="0"/>
        <v>#REF!</v>
      </c>
      <c r="F11" s="229"/>
      <c r="G11" s="229" t="s">
        <v>676</v>
      </c>
      <c r="H11" s="229"/>
      <c r="I11" s="229" t="e">
        <f t="shared" si="0"/>
        <v>#REF!</v>
      </c>
      <c r="J11" s="229" t="e">
        <f t="shared" si="0"/>
        <v>#REF!</v>
      </c>
    </row>
    <row r="12" spans="2:10">
      <c r="B12" s="229" t="s">
        <v>677</v>
      </c>
      <c r="C12" s="229"/>
      <c r="D12" s="231" t="e">
        <f>(E11+J11)/(D11+I11)</f>
        <v>#REF!</v>
      </c>
      <c r="E12" s="231"/>
      <c r="F12" s="231"/>
      <c r="G12" s="231"/>
      <c r="H12" s="231"/>
      <c r="I12" s="231"/>
      <c r="J12" s="231"/>
    </row>
  </sheetData>
  <mergeCells count="7">
    <mergeCell ref="B11:C11"/>
    <mergeCell ref="G11:H11"/>
    <mergeCell ref="B12:C12"/>
    <mergeCell ref="D12:J12"/>
    <mergeCell ref="B7:B10"/>
    <mergeCell ref="F6:F10"/>
    <mergeCell ref="G7:G1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0000"/>
  </sheetPr>
  <dimension ref="A1:AT187"/>
  <sheetViews>
    <sheetView tabSelected="1" zoomScale="85" zoomScaleNormal="85" workbookViewId="0">
      <pane ySplit="6" topLeftCell="A116" activePane="bottomLeft" state="frozen"/>
      <selection/>
      <selection pane="bottomLeft" activeCell="L122" sqref="L122"/>
    </sheetView>
  </sheetViews>
  <sheetFormatPr defaultColWidth="9" defaultRowHeight="14.25"/>
  <cols>
    <col min="1" max="1" width="9" style="118"/>
    <col min="2" max="2" width="5" style="118" customWidth="1"/>
    <col min="3" max="3" width="5.73333333333333" style="118" customWidth="1"/>
    <col min="4" max="4" width="13.1333333333333" style="118" customWidth="1"/>
    <col min="5" max="5" width="11.025" style="118" customWidth="1"/>
    <col min="6" max="6" width="8.375" style="118" customWidth="1"/>
    <col min="7" max="7" width="13.225" style="118" customWidth="1"/>
    <col min="8" max="8" width="25.2916666666667" style="118" customWidth="1"/>
    <col min="9" max="9" width="21.1666666666667" style="118" customWidth="1"/>
    <col min="10" max="10" width="41.325" style="118" customWidth="1"/>
    <col min="11" max="12" width="6.46666666666667" style="118" customWidth="1"/>
    <col min="13" max="14" width="6.46666666666667" style="115" customWidth="1"/>
    <col min="15" max="17" width="6.46666666666667" style="118" customWidth="1"/>
    <col min="18" max="22" width="6.46666666666667" style="118" hidden="1" customWidth="1"/>
    <col min="23" max="23" width="10.8833333333333" style="118" customWidth="1"/>
    <col min="24" max="24" width="9.63333333333333" style="119" customWidth="1"/>
    <col min="25" max="25" width="5.88333333333333" style="118" customWidth="1"/>
    <col min="26" max="26" width="5.88333333333333" style="120" customWidth="1"/>
    <col min="27" max="27" width="6.24166666666667" style="118" customWidth="1"/>
    <col min="28" max="30" width="5.88333333333333" style="118" customWidth="1"/>
    <col min="31" max="31" width="8" style="118" customWidth="1"/>
    <col min="32" max="32" width="10.2916666666667" style="118" customWidth="1"/>
    <col min="33" max="33" width="5.38333333333333" style="115" hidden="1" customWidth="1"/>
    <col min="34" max="34" width="7.63333333333333" style="115" hidden="1" customWidth="1"/>
    <col min="35" max="35" width="7.75" style="115" hidden="1" customWidth="1"/>
    <col min="36" max="38" width="5.38333333333333" style="115" hidden="1" customWidth="1"/>
    <col min="39" max="41" width="9.55" style="115" hidden="1" customWidth="1"/>
    <col min="42" max="44" width="10.15" style="121" customWidth="1"/>
    <col min="45" max="45" width="10.15" style="122" customWidth="1"/>
    <col min="46" max="46" width="24.5583333333333" style="122" customWidth="1"/>
    <col min="47" max="16384" width="9" style="118"/>
  </cols>
  <sheetData>
    <row r="1" spans="4:38">
      <c r="D1" s="123"/>
      <c r="E1" s="123"/>
      <c r="F1" s="123"/>
      <c r="G1" s="123"/>
      <c r="H1" s="123"/>
      <c r="I1" s="123"/>
      <c r="J1" s="123"/>
      <c r="K1" s="123"/>
      <c r="L1" s="122"/>
      <c r="O1" s="123"/>
      <c r="P1" s="123"/>
      <c r="Q1" s="123"/>
      <c r="R1" s="123"/>
      <c r="S1" s="123"/>
      <c r="T1" s="123"/>
      <c r="U1" s="123"/>
      <c r="V1" s="123"/>
      <c r="W1" s="122" t="s">
        <v>663</v>
      </c>
      <c r="X1" s="122"/>
      <c r="Y1" s="122"/>
      <c r="Z1" s="149">
        <v>1</v>
      </c>
      <c r="AA1" s="123">
        <v>1</v>
      </c>
      <c r="AB1" s="123"/>
      <c r="AC1" s="123"/>
      <c r="AD1" s="123"/>
      <c r="AE1" s="123"/>
      <c r="AF1" s="123"/>
      <c r="AG1" s="159"/>
      <c r="AH1" s="159"/>
      <c r="AI1" s="159"/>
      <c r="AJ1" s="159"/>
      <c r="AK1" s="159"/>
      <c r="AL1" s="121"/>
    </row>
    <row r="2" spans="4:38">
      <c r="D2" s="124" t="s">
        <v>670</v>
      </c>
      <c r="E2" s="123" t="s">
        <v>678</v>
      </c>
      <c r="F2" s="123"/>
      <c r="G2" s="123"/>
      <c r="H2" s="123"/>
      <c r="I2" s="123"/>
      <c r="J2" s="123"/>
      <c r="K2" s="123"/>
      <c r="L2" s="122"/>
      <c r="O2" s="123"/>
      <c r="P2" s="123"/>
      <c r="Q2" s="123"/>
      <c r="R2" s="123"/>
      <c r="S2" s="123"/>
      <c r="T2" s="123"/>
      <c r="U2" s="123"/>
      <c r="V2" s="123"/>
      <c r="W2" s="123" t="s">
        <v>664</v>
      </c>
      <c r="X2" s="123" t="s">
        <v>665</v>
      </c>
      <c r="Y2" s="123" t="s">
        <v>666</v>
      </c>
      <c r="Z2" s="149">
        <v>2</v>
      </c>
      <c r="AA2" s="149">
        <v>1.1</v>
      </c>
      <c r="AB2" s="123"/>
      <c r="AC2" s="123"/>
      <c r="AD2" s="123"/>
      <c r="AE2" s="123"/>
      <c r="AF2" s="123"/>
      <c r="AG2" s="159"/>
      <c r="AH2" s="159"/>
      <c r="AI2" s="159"/>
      <c r="AJ2" s="159"/>
      <c r="AK2" s="159"/>
      <c r="AL2" s="121"/>
    </row>
    <row r="3" spans="4:38">
      <c r="D3" s="124" t="s">
        <v>679</v>
      </c>
      <c r="E3" s="125" t="s">
        <v>680</v>
      </c>
      <c r="F3" s="123"/>
      <c r="G3" s="123"/>
      <c r="H3" s="123"/>
      <c r="I3" s="123"/>
      <c r="J3" s="123"/>
      <c r="K3" s="123"/>
      <c r="L3" s="122"/>
      <c r="O3" s="123"/>
      <c r="P3" s="123"/>
      <c r="Q3" s="123"/>
      <c r="R3" s="123"/>
      <c r="S3" s="123"/>
      <c r="T3" s="123"/>
      <c r="U3" s="123"/>
      <c r="V3" s="123"/>
      <c r="W3" s="123"/>
      <c r="X3" s="123" t="s">
        <v>667</v>
      </c>
      <c r="Y3" s="123" t="s">
        <v>668</v>
      </c>
      <c r="Z3" s="149">
        <v>3</v>
      </c>
      <c r="AA3" s="149">
        <v>1.2</v>
      </c>
      <c r="AB3" s="123"/>
      <c r="AC3" s="123"/>
      <c r="AD3" s="123"/>
      <c r="AE3" s="124"/>
      <c r="AF3" s="123"/>
      <c r="AG3" s="159"/>
      <c r="AH3" s="159"/>
      <c r="AI3" s="159"/>
      <c r="AJ3" s="159"/>
      <c r="AK3" s="159"/>
      <c r="AL3" s="121"/>
    </row>
    <row r="4" spans="4:38">
      <c r="D4" s="123" t="s">
        <v>681</v>
      </c>
      <c r="E4" s="126">
        <v>45383</v>
      </c>
      <c r="F4" s="123"/>
      <c r="G4" s="123"/>
      <c r="H4" s="123"/>
      <c r="I4" s="123"/>
      <c r="J4" s="123"/>
      <c r="K4" s="123"/>
      <c r="L4" s="122"/>
      <c r="O4" s="123"/>
      <c r="P4" s="123"/>
      <c r="Q4" s="123"/>
      <c r="R4" s="123"/>
      <c r="S4" s="123"/>
      <c r="T4" s="123"/>
      <c r="U4" s="123"/>
      <c r="V4" s="123"/>
      <c r="W4" s="123"/>
      <c r="X4" s="123"/>
      <c r="Y4" s="123" t="s">
        <v>669</v>
      </c>
      <c r="Z4" s="149">
        <v>4</v>
      </c>
      <c r="AA4" s="149">
        <v>1.3</v>
      </c>
      <c r="AB4" s="123"/>
      <c r="AC4" s="123"/>
      <c r="AD4" s="123"/>
      <c r="AE4" s="124"/>
      <c r="AF4" s="123"/>
      <c r="AG4" s="159"/>
      <c r="AH4" s="159"/>
      <c r="AI4" s="159"/>
      <c r="AJ4" s="159"/>
      <c r="AK4" s="159"/>
      <c r="AL4" s="121"/>
    </row>
    <row r="5" s="115" customFormat="1" spans="1:46">
      <c r="A5" s="127" t="s">
        <v>682</v>
      </c>
      <c r="B5" s="128" t="s">
        <v>683</v>
      </c>
      <c r="C5" s="128" t="s">
        <v>684</v>
      </c>
      <c r="D5" s="127" t="s">
        <v>685</v>
      </c>
      <c r="E5" s="128" t="s">
        <v>686</v>
      </c>
      <c r="F5" s="128" t="s">
        <v>687</v>
      </c>
      <c r="G5" s="128" t="s">
        <v>688</v>
      </c>
      <c r="H5" s="128" t="s">
        <v>689</v>
      </c>
      <c r="I5" s="128" t="s">
        <v>690</v>
      </c>
      <c r="J5" s="128" t="s">
        <v>691</v>
      </c>
      <c r="K5" s="128" t="s">
        <v>692</v>
      </c>
      <c r="L5" s="128" t="s">
        <v>693</v>
      </c>
      <c r="M5" s="128" t="s">
        <v>694</v>
      </c>
      <c r="N5" s="128" t="s">
        <v>695</v>
      </c>
      <c r="O5" s="128" t="s">
        <v>696</v>
      </c>
      <c r="P5" s="128" t="s">
        <v>697</v>
      </c>
      <c r="Q5" s="128" t="s">
        <v>698</v>
      </c>
      <c r="R5" s="128" t="s">
        <v>699</v>
      </c>
      <c r="S5" s="130" t="s">
        <v>700</v>
      </c>
      <c r="T5" s="130" t="s">
        <v>701</v>
      </c>
      <c r="U5" s="130" t="s">
        <v>702</v>
      </c>
      <c r="V5" s="130" t="s">
        <v>703</v>
      </c>
      <c r="W5" s="130" t="s">
        <v>704</v>
      </c>
      <c r="X5" s="130" t="s">
        <v>705</v>
      </c>
      <c r="Y5" s="150" t="s">
        <v>706</v>
      </c>
      <c r="Z5" s="150"/>
      <c r="AA5" s="150"/>
      <c r="AB5" s="150"/>
      <c r="AC5" s="150"/>
      <c r="AD5" s="150"/>
      <c r="AE5" s="128" t="s">
        <v>707</v>
      </c>
      <c r="AF5" s="128" t="s">
        <v>708</v>
      </c>
      <c r="AG5" s="150" t="s">
        <v>709</v>
      </c>
      <c r="AH5" s="150"/>
      <c r="AI5" s="150"/>
      <c r="AJ5" s="150"/>
      <c r="AK5" s="150"/>
      <c r="AL5" s="150"/>
      <c r="AM5" s="160" t="s">
        <v>710</v>
      </c>
      <c r="AN5" s="160"/>
      <c r="AO5" s="160"/>
      <c r="AP5" s="163" t="s">
        <v>711</v>
      </c>
      <c r="AQ5" s="163" t="s">
        <v>712</v>
      </c>
      <c r="AR5" s="163" t="s">
        <v>713</v>
      </c>
      <c r="AS5" s="164" t="s">
        <v>714</v>
      </c>
      <c r="AT5" s="165" t="s">
        <v>715</v>
      </c>
    </row>
    <row r="6" spans="1:46">
      <c r="A6" s="129"/>
      <c r="B6" s="130"/>
      <c r="C6" s="130"/>
      <c r="D6" s="129"/>
      <c r="E6" s="130"/>
      <c r="F6" s="130"/>
      <c r="G6" s="128"/>
      <c r="H6" s="130"/>
      <c r="I6" s="130"/>
      <c r="J6" s="130"/>
      <c r="K6" s="130"/>
      <c r="L6" s="128"/>
      <c r="M6" s="128"/>
      <c r="N6" s="128"/>
      <c r="O6" s="130"/>
      <c r="P6" s="128"/>
      <c r="Q6" s="128"/>
      <c r="R6" s="130"/>
      <c r="S6" s="130"/>
      <c r="T6" s="130"/>
      <c r="U6" s="130"/>
      <c r="V6" s="130"/>
      <c r="W6" s="130"/>
      <c r="X6" s="130"/>
      <c r="Y6" s="129" t="s">
        <v>716</v>
      </c>
      <c r="Z6" s="151" t="s">
        <v>717</v>
      </c>
      <c r="AA6" s="129" t="s">
        <v>718</v>
      </c>
      <c r="AB6" s="129" t="s">
        <v>719</v>
      </c>
      <c r="AC6" s="129" t="s">
        <v>720</v>
      </c>
      <c r="AD6" s="129" t="s">
        <v>721</v>
      </c>
      <c r="AE6" s="128"/>
      <c r="AF6" s="128"/>
      <c r="AG6" s="129" t="s">
        <v>716</v>
      </c>
      <c r="AH6" s="151" t="s">
        <v>717</v>
      </c>
      <c r="AI6" s="129" t="s">
        <v>718</v>
      </c>
      <c r="AJ6" s="129" t="s">
        <v>719</v>
      </c>
      <c r="AK6" s="129" t="s">
        <v>720</v>
      </c>
      <c r="AL6" s="129" t="s">
        <v>721</v>
      </c>
      <c r="AM6" s="160"/>
      <c r="AN6" s="160"/>
      <c r="AO6" s="160"/>
      <c r="AP6" s="163"/>
      <c r="AQ6" s="163"/>
      <c r="AR6" s="163"/>
      <c r="AS6" s="164"/>
      <c r="AT6" s="165"/>
    </row>
    <row r="7" s="116" customFormat="1" ht="142.5" hidden="1" spans="1:46">
      <c r="A7" s="131" t="s">
        <v>722</v>
      </c>
      <c r="B7" s="132" t="s">
        <v>723</v>
      </c>
      <c r="C7" s="131" t="s">
        <v>724</v>
      </c>
      <c r="D7" s="133" t="s">
        <v>725</v>
      </c>
      <c r="E7" s="133" t="s">
        <v>726</v>
      </c>
      <c r="F7" s="133" t="s">
        <v>727</v>
      </c>
      <c r="G7" s="134"/>
      <c r="H7" s="133" t="s">
        <v>728</v>
      </c>
      <c r="I7" s="133" t="s">
        <v>729</v>
      </c>
      <c r="J7" s="131" t="s">
        <v>730</v>
      </c>
      <c r="K7" s="131" t="s">
        <v>730</v>
      </c>
      <c r="L7" s="131" t="s">
        <v>724</v>
      </c>
      <c r="M7" s="131" t="s">
        <v>724</v>
      </c>
      <c r="N7" s="131" t="s">
        <v>724</v>
      </c>
      <c r="O7" s="131" t="s">
        <v>730</v>
      </c>
      <c r="P7" s="133" t="s">
        <v>731</v>
      </c>
      <c r="Q7" s="133" t="s">
        <v>720</v>
      </c>
      <c r="R7" s="133" t="s">
        <v>720</v>
      </c>
      <c r="S7" s="131"/>
      <c r="T7" s="131"/>
      <c r="U7" s="131"/>
      <c r="V7" s="133">
        <v>2026</v>
      </c>
      <c r="W7" s="140">
        <v>46112</v>
      </c>
      <c r="X7" s="141" t="s">
        <v>732</v>
      </c>
      <c r="Y7" s="95"/>
      <c r="Z7" s="152"/>
      <c r="AA7" s="95"/>
      <c r="AB7" s="95"/>
      <c r="AC7" s="133">
        <v>72</v>
      </c>
      <c r="AD7" s="153"/>
      <c r="AE7" s="154">
        <v>46023</v>
      </c>
      <c r="AF7" s="154">
        <v>46112</v>
      </c>
      <c r="AG7" s="95"/>
      <c r="AH7" s="161"/>
      <c r="AI7" s="95"/>
      <c r="AJ7" s="95"/>
      <c r="AK7" s="95"/>
      <c r="AL7" s="95"/>
      <c r="AM7" s="162"/>
      <c r="AN7" s="162"/>
      <c r="AO7" s="162"/>
      <c r="AP7" s="166">
        <v>8240</v>
      </c>
      <c r="AQ7" s="166">
        <v>19936</v>
      </c>
      <c r="AR7" s="166">
        <f>SUM(Y7:AD7)</f>
        <v>72</v>
      </c>
      <c r="AS7" s="167">
        <f>AR7*8</f>
        <v>576</v>
      </c>
      <c r="AT7" s="168"/>
    </row>
    <row r="8" s="116" customFormat="1" ht="142.5" hidden="1" spans="1:46">
      <c r="A8" s="131" t="s">
        <v>722</v>
      </c>
      <c r="B8" s="132" t="s">
        <v>723</v>
      </c>
      <c r="C8" s="131" t="s">
        <v>724</v>
      </c>
      <c r="D8" s="133" t="s">
        <v>725</v>
      </c>
      <c r="E8" s="133" t="s">
        <v>726</v>
      </c>
      <c r="F8" s="133" t="s">
        <v>727</v>
      </c>
      <c r="G8" s="134"/>
      <c r="H8" s="133" t="s">
        <v>728</v>
      </c>
      <c r="I8" s="133" t="s">
        <v>729</v>
      </c>
      <c r="J8" s="131" t="s">
        <v>730</v>
      </c>
      <c r="K8" s="131" t="s">
        <v>730</v>
      </c>
      <c r="L8" s="131" t="s">
        <v>724</v>
      </c>
      <c r="M8" s="131" t="s">
        <v>724</v>
      </c>
      <c r="N8" s="131" t="s">
        <v>724</v>
      </c>
      <c r="O8" s="131" t="s">
        <v>730</v>
      </c>
      <c r="P8" s="133" t="s">
        <v>733</v>
      </c>
      <c r="Q8" s="133" t="s">
        <v>717</v>
      </c>
      <c r="R8" s="133" t="s">
        <v>717</v>
      </c>
      <c r="S8" s="131"/>
      <c r="T8" s="131"/>
      <c r="U8" s="131"/>
      <c r="V8" s="133">
        <v>2026</v>
      </c>
      <c r="W8" s="140">
        <v>46112</v>
      </c>
      <c r="X8" s="141" t="s">
        <v>732</v>
      </c>
      <c r="Y8" s="95"/>
      <c r="Z8" s="133">
        <v>72</v>
      </c>
      <c r="AA8" s="95"/>
      <c r="AB8" s="95"/>
      <c r="AC8" s="95"/>
      <c r="AD8" s="131"/>
      <c r="AE8" s="154">
        <v>46023</v>
      </c>
      <c r="AF8" s="154">
        <v>46112</v>
      </c>
      <c r="AG8" s="95"/>
      <c r="AH8" s="161"/>
      <c r="AI8" s="95"/>
      <c r="AJ8" s="95"/>
      <c r="AK8" s="95"/>
      <c r="AL8" s="95"/>
      <c r="AM8" s="162"/>
      <c r="AN8" s="162"/>
      <c r="AO8" s="162"/>
      <c r="AP8" s="166">
        <v>8240</v>
      </c>
      <c r="AQ8" s="166">
        <v>19937</v>
      </c>
      <c r="AR8" s="166">
        <f>SUM(Y8:AD8)</f>
        <v>72</v>
      </c>
      <c r="AS8" s="169">
        <f>AR8*8</f>
        <v>576</v>
      </c>
      <c r="AT8" s="168"/>
    </row>
    <row r="9" s="116" customFormat="1" ht="99.75" spans="1:46">
      <c r="A9" s="131" t="s">
        <v>722</v>
      </c>
      <c r="B9" s="131" t="s">
        <v>734</v>
      </c>
      <c r="C9" s="131" t="s">
        <v>735</v>
      </c>
      <c r="D9" s="133" t="s">
        <v>736</v>
      </c>
      <c r="E9" s="133" t="s">
        <v>737</v>
      </c>
      <c r="F9" s="133" t="s">
        <v>738</v>
      </c>
      <c r="G9" s="133" t="s">
        <v>739</v>
      </c>
      <c r="H9" s="133" t="s">
        <v>740</v>
      </c>
      <c r="I9" s="133" t="s">
        <v>741</v>
      </c>
      <c r="J9" s="133" t="s">
        <v>742</v>
      </c>
      <c r="K9" s="133" t="s">
        <v>743</v>
      </c>
      <c r="L9" s="133" t="s">
        <v>724</v>
      </c>
      <c r="M9" s="133" t="s">
        <v>724</v>
      </c>
      <c r="N9" s="133" t="s">
        <v>735</v>
      </c>
      <c r="O9" s="133" t="s">
        <v>744</v>
      </c>
      <c r="P9" s="133" t="s">
        <v>745</v>
      </c>
      <c r="Q9" s="133" t="s">
        <v>718</v>
      </c>
      <c r="R9" s="133" t="s">
        <v>718</v>
      </c>
      <c r="S9" s="131">
        <v>1</v>
      </c>
      <c r="T9" s="131">
        <v>2</v>
      </c>
      <c r="U9" s="131">
        <v>2</v>
      </c>
      <c r="V9" s="133">
        <v>2026</v>
      </c>
      <c r="W9" s="140">
        <v>46112</v>
      </c>
      <c r="X9" s="141" t="s">
        <v>746</v>
      </c>
      <c r="Y9" s="155"/>
      <c r="Z9" s="131"/>
      <c r="AA9" s="131">
        <v>15</v>
      </c>
      <c r="AB9" s="131"/>
      <c r="AC9" s="131"/>
      <c r="AD9" s="131"/>
      <c r="AE9" s="154">
        <v>46023</v>
      </c>
      <c r="AF9" s="154">
        <v>46112</v>
      </c>
      <c r="AG9" s="95"/>
      <c r="AH9" s="95"/>
      <c r="AI9" s="95"/>
      <c r="AJ9" s="95"/>
      <c r="AK9" s="95"/>
      <c r="AL9" s="95"/>
      <c r="AM9" s="162"/>
      <c r="AN9" s="162"/>
      <c r="AO9" s="162"/>
      <c r="AP9" s="166">
        <v>8213</v>
      </c>
      <c r="AQ9" s="166">
        <v>19993</v>
      </c>
      <c r="AR9" s="166">
        <f>SUM(Y9:AD9)</f>
        <v>15</v>
      </c>
      <c r="AS9" s="169">
        <f>AR9*8</f>
        <v>120</v>
      </c>
      <c r="AT9" s="168"/>
    </row>
    <row r="10" s="116" customFormat="1" ht="142.5" hidden="1" spans="1:46">
      <c r="A10" s="131" t="s">
        <v>722</v>
      </c>
      <c r="B10" s="131" t="s">
        <v>723</v>
      </c>
      <c r="C10" s="131" t="s">
        <v>735</v>
      </c>
      <c r="D10" s="133" t="s">
        <v>747</v>
      </c>
      <c r="E10" s="133" t="s">
        <v>748</v>
      </c>
      <c r="F10" s="133" t="s">
        <v>749</v>
      </c>
      <c r="G10" s="133"/>
      <c r="H10" s="133" t="s">
        <v>750</v>
      </c>
      <c r="I10" s="133" t="s">
        <v>751</v>
      </c>
      <c r="J10" s="133" t="s">
        <v>752</v>
      </c>
      <c r="K10" s="131" t="s">
        <v>753</v>
      </c>
      <c r="L10" s="133" t="s">
        <v>724</v>
      </c>
      <c r="M10" s="133" t="s">
        <v>724</v>
      </c>
      <c r="N10" s="133" t="s">
        <v>735</v>
      </c>
      <c r="O10" s="133" t="s">
        <v>744</v>
      </c>
      <c r="P10" s="133" t="s">
        <v>754</v>
      </c>
      <c r="Q10" s="131" t="s">
        <v>755</v>
      </c>
      <c r="R10" s="133" t="s">
        <v>718</v>
      </c>
      <c r="S10" s="133"/>
      <c r="T10" s="133"/>
      <c r="U10" s="131"/>
      <c r="V10" s="133">
        <v>2026</v>
      </c>
      <c r="W10" s="140">
        <v>46112</v>
      </c>
      <c r="X10" s="141" t="s">
        <v>756</v>
      </c>
      <c r="Y10" s="131">
        <v>5</v>
      </c>
      <c r="Z10" s="131"/>
      <c r="AA10" s="131"/>
      <c r="AB10" s="131"/>
      <c r="AC10" s="131"/>
      <c r="AD10" s="131"/>
      <c r="AE10" s="154">
        <v>46023</v>
      </c>
      <c r="AF10" s="154">
        <v>46112</v>
      </c>
      <c r="AG10" s="95"/>
      <c r="AH10" s="95"/>
      <c r="AI10" s="95"/>
      <c r="AJ10" s="95"/>
      <c r="AK10" s="95"/>
      <c r="AL10" s="95"/>
      <c r="AM10" s="162"/>
      <c r="AN10" s="162"/>
      <c r="AO10" s="162"/>
      <c r="AP10" s="166">
        <v>8242</v>
      </c>
      <c r="AQ10" s="166">
        <v>20024</v>
      </c>
      <c r="AR10" s="166">
        <f t="shared" ref="AR10:AR53" si="0">SUM(Y10:AD10)</f>
        <v>5</v>
      </c>
      <c r="AS10" s="169">
        <f t="shared" ref="AS10:AS53" si="1">AR10*8</f>
        <v>40</v>
      </c>
      <c r="AT10" s="168"/>
    </row>
    <row r="11" s="116" customFormat="1" ht="71.25" hidden="1" spans="1:46">
      <c r="A11" s="131" t="s">
        <v>722</v>
      </c>
      <c r="B11" s="131" t="s">
        <v>723</v>
      </c>
      <c r="C11" s="131" t="s">
        <v>735</v>
      </c>
      <c r="D11" s="133" t="s">
        <v>747</v>
      </c>
      <c r="E11" s="133" t="s">
        <v>748</v>
      </c>
      <c r="F11" s="133" t="s">
        <v>749</v>
      </c>
      <c r="G11" s="133"/>
      <c r="H11" s="133" t="s">
        <v>757</v>
      </c>
      <c r="I11" s="133" t="s">
        <v>758</v>
      </c>
      <c r="J11" s="133" t="s">
        <v>752</v>
      </c>
      <c r="K11" s="131" t="s">
        <v>753</v>
      </c>
      <c r="L11" s="133" t="s">
        <v>724</v>
      </c>
      <c r="M11" s="133" t="s">
        <v>724</v>
      </c>
      <c r="N11" s="133" t="s">
        <v>735</v>
      </c>
      <c r="O11" s="133" t="s">
        <v>744</v>
      </c>
      <c r="P11" s="133" t="s">
        <v>754</v>
      </c>
      <c r="Q11" s="131" t="s">
        <v>755</v>
      </c>
      <c r="R11" s="133" t="s">
        <v>718</v>
      </c>
      <c r="S11" s="133"/>
      <c r="T11" s="133"/>
      <c r="U11" s="131"/>
      <c r="V11" s="133">
        <v>2026</v>
      </c>
      <c r="W11" s="140">
        <v>46112</v>
      </c>
      <c r="X11" s="141" t="s">
        <v>756</v>
      </c>
      <c r="Y11" s="131">
        <v>5</v>
      </c>
      <c r="Z11" s="131"/>
      <c r="AA11" s="131"/>
      <c r="AB11" s="131"/>
      <c r="AC11" s="131"/>
      <c r="AD11" s="131"/>
      <c r="AE11" s="154">
        <v>46023</v>
      </c>
      <c r="AF11" s="154">
        <v>46112</v>
      </c>
      <c r="AG11" s="95"/>
      <c r="AH11" s="95"/>
      <c r="AI11" s="95"/>
      <c r="AJ11" s="95"/>
      <c r="AK11" s="95"/>
      <c r="AL11" s="95"/>
      <c r="AM11" s="162"/>
      <c r="AN11" s="162"/>
      <c r="AO11" s="162"/>
      <c r="AP11" s="166">
        <v>8243</v>
      </c>
      <c r="AQ11" s="166">
        <v>20025</v>
      </c>
      <c r="AR11" s="166">
        <f t="shared" si="0"/>
        <v>5</v>
      </c>
      <c r="AS11" s="169">
        <f t="shared" si="1"/>
        <v>40</v>
      </c>
      <c r="AT11" s="168"/>
    </row>
    <row r="12" s="116" customFormat="1" ht="71.25" hidden="1" spans="1:46">
      <c r="A12" s="131" t="s">
        <v>722</v>
      </c>
      <c r="B12" s="131" t="s">
        <v>723</v>
      </c>
      <c r="C12" s="131" t="s">
        <v>735</v>
      </c>
      <c r="D12" s="133" t="s">
        <v>747</v>
      </c>
      <c r="E12" s="133" t="s">
        <v>748</v>
      </c>
      <c r="F12" s="133" t="s">
        <v>749</v>
      </c>
      <c r="G12" s="133"/>
      <c r="H12" s="133" t="s">
        <v>759</v>
      </c>
      <c r="I12" s="133" t="s">
        <v>760</v>
      </c>
      <c r="J12" s="133" t="s">
        <v>752</v>
      </c>
      <c r="K12" s="131" t="s">
        <v>753</v>
      </c>
      <c r="L12" s="133" t="s">
        <v>724</v>
      </c>
      <c r="M12" s="133" t="s">
        <v>724</v>
      </c>
      <c r="N12" s="133" t="s">
        <v>735</v>
      </c>
      <c r="O12" s="133" t="s">
        <v>744</v>
      </c>
      <c r="P12" s="133" t="s">
        <v>754</v>
      </c>
      <c r="Q12" s="131" t="s">
        <v>755</v>
      </c>
      <c r="R12" s="133" t="s">
        <v>718</v>
      </c>
      <c r="S12" s="133"/>
      <c r="T12" s="133"/>
      <c r="U12" s="131"/>
      <c r="V12" s="133">
        <v>2026</v>
      </c>
      <c r="W12" s="140">
        <v>46112</v>
      </c>
      <c r="X12" s="141" t="s">
        <v>756</v>
      </c>
      <c r="Y12" s="131">
        <v>1</v>
      </c>
      <c r="Z12" s="131"/>
      <c r="AA12" s="131"/>
      <c r="AB12" s="131"/>
      <c r="AC12" s="131"/>
      <c r="AD12" s="131"/>
      <c r="AE12" s="154">
        <v>46023</v>
      </c>
      <c r="AF12" s="154">
        <v>46112</v>
      </c>
      <c r="AG12" s="95"/>
      <c r="AH12" s="95"/>
      <c r="AI12" s="95"/>
      <c r="AJ12" s="95"/>
      <c r="AK12" s="95"/>
      <c r="AL12" s="95"/>
      <c r="AM12" s="162"/>
      <c r="AN12" s="162"/>
      <c r="AO12" s="162"/>
      <c r="AP12" s="166">
        <v>8244</v>
      </c>
      <c r="AQ12" s="166">
        <v>20026</v>
      </c>
      <c r="AR12" s="166">
        <f t="shared" si="0"/>
        <v>1</v>
      </c>
      <c r="AS12" s="169">
        <f t="shared" si="1"/>
        <v>8</v>
      </c>
      <c r="AT12" s="168"/>
    </row>
    <row r="13" s="116" customFormat="1" ht="85.5" hidden="1" spans="1:46">
      <c r="A13" s="131" t="s">
        <v>722</v>
      </c>
      <c r="B13" s="131" t="s">
        <v>723</v>
      </c>
      <c r="C13" s="131" t="s">
        <v>735</v>
      </c>
      <c r="D13" s="133" t="s">
        <v>747</v>
      </c>
      <c r="E13" s="133" t="s">
        <v>748</v>
      </c>
      <c r="F13" s="133" t="s">
        <v>749</v>
      </c>
      <c r="G13" s="133"/>
      <c r="H13" s="133" t="s">
        <v>761</v>
      </c>
      <c r="I13" s="133" t="s">
        <v>762</v>
      </c>
      <c r="J13" s="133" t="s">
        <v>752</v>
      </c>
      <c r="K13" s="131" t="s">
        <v>753</v>
      </c>
      <c r="L13" s="133" t="s">
        <v>724</v>
      </c>
      <c r="M13" s="133" t="s">
        <v>724</v>
      </c>
      <c r="N13" s="133" t="s">
        <v>735</v>
      </c>
      <c r="O13" s="133" t="s">
        <v>744</v>
      </c>
      <c r="P13" s="133" t="s">
        <v>754</v>
      </c>
      <c r="Q13" s="131" t="s">
        <v>755</v>
      </c>
      <c r="R13" s="133" t="s">
        <v>718</v>
      </c>
      <c r="S13" s="133"/>
      <c r="T13" s="133"/>
      <c r="U13" s="131"/>
      <c r="V13" s="133">
        <v>2026</v>
      </c>
      <c r="W13" s="140">
        <v>46112</v>
      </c>
      <c r="X13" s="141" t="s">
        <v>756</v>
      </c>
      <c r="Y13" s="131">
        <v>1</v>
      </c>
      <c r="Z13" s="131"/>
      <c r="AA13" s="131"/>
      <c r="AB13" s="131"/>
      <c r="AC13" s="131"/>
      <c r="AD13" s="131"/>
      <c r="AE13" s="154">
        <v>46023</v>
      </c>
      <c r="AF13" s="154">
        <v>46112</v>
      </c>
      <c r="AG13" s="95"/>
      <c r="AH13" s="95"/>
      <c r="AI13" s="95"/>
      <c r="AJ13" s="95"/>
      <c r="AK13" s="95"/>
      <c r="AL13" s="95"/>
      <c r="AM13" s="162"/>
      <c r="AN13" s="162"/>
      <c r="AO13" s="162"/>
      <c r="AP13" s="166">
        <v>8245</v>
      </c>
      <c r="AQ13" s="166">
        <v>20027</v>
      </c>
      <c r="AR13" s="166">
        <f t="shared" si="0"/>
        <v>1</v>
      </c>
      <c r="AS13" s="169">
        <f t="shared" si="1"/>
        <v>8</v>
      </c>
      <c r="AT13" s="168"/>
    </row>
    <row r="14" s="116" customFormat="1" ht="71.25" hidden="1" spans="1:46">
      <c r="A14" s="131" t="s">
        <v>722</v>
      </c>
      <c r="B14" s="131" t="s">
        <v>723</v>
      </c>
      <c r="C14" s="131" t="s">
        <v>735</v>
      </c>
      <c r="D14" s="133" t="s">
        <v>747</v>
      </c>
      <c r="E14" s="133" t="s">
        <v>748</v>
      </c>
      <c r="F14" s="133" t="s">
        <v>749</v>
      </c>
      <c r="G14" s="133"/>
      <c r="H14" s="133" t="s">
        <v>763</v>
      </c>
      <c r="I14" s="133" t="s">
        <v>764</v>
      </c>
      <c r="J14" s="133" t="s">
        <v>752</v>
      </c>
      <c r="K14" s="131" t="s">
        <v>753</v>
      </c>
      <c r="L14" s="133" t="s">
        <v>724</v>
      </c>
      <c r="M14" s="133" t="s">
        <v>724</v>
      </c>
      <c r="N14" s="133" t="s">
        <v>735</v>
      </c>
      <c r="O14" s="133" t="s">
        <v>744</v>
      </c>
      <c r="P14" s="133" t="s">
        <v>754</v>
      </c>
      <c r="Q14" s="131" t="s">
        <v>755</v>
      </c>
      <c r="R14" s="133" t="s">
        <v>718</v>
      </c>
      <c r="S14" s="133"/>
      <c r="T14" s="133"/>
      <c r="U14" s="131"/>
      <c r="V14" s="133">
        <v>2026</v>
      </c>
      <c r="W14" s="140">
        <v>46112</v>
      </c>
      <c r="X14" s="141" t="s">
        <v>756</v>
      </c>
      <c r="Y14" s="131">
        <v>2</v>
      </c>
      <c r="Z14" s="131"/>
      <c r="AA14" s="131"/>
      <c r="AB14" s="131"/>
      <c r="AC14" s="131"/>
      <c r="AD14" s="131"/>
      <c r="AE14" s="154">
        <v>46023</v>
      </c>
      <c r="AF14" s="154">
        <v>46112</v>
      </c>
      <c r="AG14" s="95"/>
      <c r="AH14" s="95"/>
      <c r="AI14" s="95"/>
      <c r="AJ14" s="95"/>
      <c r="AK14" s="95"/>
      <c r="AL14" s="95"/>
      <c r="AM14" s="162"/>
      <c r="AN14" s="162"/>
      <c r="AO14" s="162"/>
      <c r="AP14" s="166">
        <v>8246</v>
      </c>
      <c r="AQ14" s="166">
        <v>20028</v>
      </c>
      <c r="AR14" s="166">
        <f t="shared" si="0"/>
        <v>2</v>
      </c>
      <c r="AS14" s="169">
        <f t="shared" si="1"/>
        <v>16</v>
      </c>
      <c r="AT14" s="168"/>
    </row>
    <row r="15" s="116" customFormat="1" ht="114" hidden="1" spans="1:46">
      <c r="A15" s="131" t="s">
        <v>722</v>
      </c>
      <c r="B15" s="131" t="s">
        <v>723</v>
      </c>
      <c r="C15" s="131" t="s">
        <v>735</v>
      </c>
      <c r="D15" s="133" t="s">
        <v>747</v>
      </c>
      <c r="E15" s="133" t="s">
        <v>748</v>
      </c>
      <c r="F15" s="133" t="s">
        <v>749</v>
      </c>
      <c r="G15" s="133"/>
      <c r="H15" s="133" t="s">
        <v>765</v>
      </c>
      <c r="I15" s="133" t="s">
        <v>766</v>
      </c>
      <c r="J15" s="133" t="s">
        <v>752</v>
      </c>
      <c r="K15" s="131" t="s">
        <v>753</v>
      </c>
      <c r="L15" s="133" t="s">
        <v>724</v>
      </c>
      <c r="M15" s="133" t="s">
        <v>724</v>
      </c>
      <c r="N15" s="133" t="s">
        <v>735</v>
      </c>
      <c r="O15" s="133" t="s">
        <v>744</v>
      </c>
      <c r="P15" s="133" t="s">
        <v>754</v>
      </c>
      <c r="Q15" s="131" t="s">
        <v>755</v>
      </c>
      <c r="R15" s="133" t="s">
        <v>718</v>
      </c>
      <c r="S15" s="133"/>
      <c r="T15" s="133"/>
      <c r="U15" s="131"/>
      <c r="V15" s="133">
        <v>2026</v>
      </c>
      <c r="W15" s="140">
        <v>46112</v>
      </c>
      <c r="X15" s="141" t="s">
        <v>756</v>
      </c>
      <c r="Y15" s="131">
        <v>2</v>
      </c>
      <c r="Z15" s="131"/>
      <c r="AA15" s="131"/>
      <c r="AB15" s="131"/>
      <c r="AC15" s="131"/>
      <c r="AD15" s="131"/>
      <c r="AE15" s="154">
        <v>46023</v>
      </c>
      <c r="AF15" s="154">
        <v>46112</v>
      </c>
      <c r="AG15" s="95"/>
      <c r="AH15" s="95"/>
      <c r="AI15" s="95"/>
      <c r="AJ15" s="95"/>
      <c r="AK15" s="95"/>
      <c r="AL15" s="95"/>
      <c r="AM15" s="162"/>
      <c r="AN15" s="162"/>
      <c r="AO15" s="162"/>
      <c r="AP15" s="166">
        <v>8247</v>
      </c>
      <c r="AQ15" s="166">
        <v>20029</v>
      </c>
      <c r="AR15" s="166">
        <f t="shared" si="0"/>
        <v>2</v>
      </c>
      <c r="AS15" s="169">
        <f t="shared" si="1"/>
        <v>16</v>
      </c>
      <c r="AT15" s="168"/>
    </row>
    <row r="16" s="116" customFormat="1" ht="71.25" hidden="1" spans="1:46">
      <c r="A16" s="131" t="s">
        <v>722</v>
      </c>
      <c r="B16" s="131" t="s">
        <v>723</v>
      </c>
      <c r="C16" s="131" t="s">
        <v>735</v>
      </c>
      <c r="D16" s="133" t="s">
        <v>747</v>
      </c>
      <c r="E16" s="133" t="s">
        <v>748</v>
      </c>
      <c r="F16" s="133" t="s">
        <v>749</v>
      </c>
      <c r="G16" s="133"/>
      <c r="H16" s="133" t="s">
        <v>767</v>
      </c>
      <c r="I16" s="133" t="s">
        <v>768</v>
      </c>
      <c r="J16" s="133" t="s">
        <v>752</v>
      </c>
      <c r="K16" s="131" t="s">
        <v>753</v>
      </c>
      <c r="L16" s="133" t="s">
        <v>724</v>
      </c>
      <c r="M16" s="133" t="s">
        <v>724</v>
      </c>
      <c r="N16" s="133" t="s">
        <v>735</v>
      </c>
      <c r="O16" s="133" t="s">
        <v>744</v>
      </c>
      <c r="P16" s="133" t="s">
        <v>754</v>
      </c>
      <c r="Q16" s="131" t="s">
        <v>755</v>
      </c>
      <c r="R16" s="133" t="s">
        <v>718</v>
      </c>
      <c r="S16" s="133"/>
      <c r="T16" s="133"/>
      <c r="U16" s="131"/>
      <c r="V16" s="133">
        <v>2026</v>
      </c>
      <c r="W16" s="140">
        <v>46112</v>
      </c>
      <c r="X16" s="141" t="s">
        <v>756</v>
      </c>
      <c r="Y16" s="131">
        <v>3</v>
      </c>
      <c r="Z16" s="131"/>
      <c r="AA16" s="131"/>
      <c r="AB16" s="131"/>
      <c r="AC16" s="131"/>
      <c r="AD16" s="131"/>
      <c r="AE16" s="154">
        <v>46023</v>
      </c>
      <c r="AF16" s="154">
        <v>46112</v>
      </c>
      <c r="AG16" s="95"/>
      <c r="AH16" s="95"/>
      <c r="AI16" s="95"/>
      <c r="AJ16" s="95"/>
      <c r="AK16" s="95"/>
      <c r="AL16" s="95"/>
      <c r="AM16" s="162"/>
      <c r="AN16" s="162"/>
      <c r="AO16" s="162"/>
      <c r="AP16" s="166">
        <v>8248</v>
      </c>
      <c r="AQ16" s="166">
        <v>20030</v>
      </c>
      <c r="AR16" s="166">
        <f t="shared" si="0"/>
        <v>3</v>
      </c>
      <c r="AS16" s="169">
        <f t="shared" si="1"/>
        <v>24</v>
      </c>
      <c r="AT16" s="168"/>
    </row>
    <row r="17" s="116" customFormat="1" ht="71.25" hidden="1" spans="1:46">
      <c r="A17" s="131" t="s">
        <v>722</v>
      </c>
      <c r="B17" s="131" t="s">
        <v>723</v>
      </c>
      <c r="C17" s="131" t="s">
        <v>735</v>
      </c>
      <c r="D17" s="133" t="s">
        <v>747</v>
      </c>
      <c r="E17" s="133" t="s">
        <v>748</v>
      </c>
      <c r="F17" s="133" t="s">
        <v>749</v>
      </c>
      <c r="G17" s="133"/>
      <c r="H17" s="133" t="s">
        <v>769</v>
      </c>
      <c r="I17" s="133" t="s">
        <v>770</v>
      </c>
      <c r="J17" s="133" t="s">
        <v>752</v>
      </c>
      <c r="K17" s="131" t="s">
        <v>753</v>
      </c>
      <c r="L17" s="133" t="s">
        <v>724</v>
      </c>
      <c r="M17" s="133" t="s">
        <v>724</v>
      </c>
      <c r="N17" s="133" t="s">
        <v>735</v>
      </c>
      <c r="O17" s="133" t="s">
        <v>744</v>
      </c>
      <c r="P17" s="133" t="s">
        <v>754</v>
      </c>
      <c r="Q17" s="131" t="s">
        <v>755</v>
      </c>
      <c r="R17" s="133" t="s">
        <v>718</v>
      </c>
      <c r="S17" s="133"/>
      <c r="T17" s="133"/>
      <c r="U17" s="131"/>
      <c r="V17" s="133">
        <v>2026</v>
      </c>
      <c r="W17" s="140">
        <v>46112</v>
      </c>
      <c r="X17" s="141" t="s">
        <v>756</v>
      </c>
      <c r="Y17" s="131">
        <v>3</v>
      </c>
      <c r="Z17" s="131"/>
      <c r="AA17" s="131"/>
      <c r="AB17" s="131"/>
      <c r="AC17" s="131"/>
      <c r="AD17" s="131"/>
      <c r="AE17" s="154">
        <v>46023</v>
      </c>
      <c r="AF17" s="154">
        <v>46112</v>
      </c>
      <c r="AG17" s="95"/>
      <c r="AH17" s="95"/>
      <c r="AI17" s="95"/>
      <c r="AJ17" s="95"/>
      <c r="AK17" s="95"/>
      <c r="AL17" s="95"/>
      <c r="AM17" s="162"/>
      <c r="AN17" s="162"/>
      <c r="AO17" s="162"/>
      <c r="AP17" s="166">
        <v>8249</v>
      </c>
      <c r="AQ17" s="166">
        <v>20031</v>
      </c>
      <c r="AR17" s="166">
        <f t="shared" si="0"/>
        <v>3</v>
      </c>
      <c r="AS17" s="169">
        <f t="shared" si="1"/>
        <v>24</v>
      </c>
      <c r="AT17" s="168"/>
    </row>
    <row r="18" s="116" customFormat="1" ht="128.25" hidden="1" spans="1:46">
      <c r="A18" s="131" t="s">
        <v>722</v>
      </c>
      <c r="B18" s="131" t="s">
        <v>723</v>
      </c>
      <c r="C18" s="131" t="s">
        <v>735</v>
      </c>
      <c r="D18" s="133" t="s">
        <v>747</v>
      </c>
      <c r="E18" s="133" t="s">
        <v>748</v>
      </c>
      <c r="F18" s="133" t="s">
        <v>749</v>
      </c>
      <c r="G18" s="133"/>
      <c r="H18" s="133" t="s">
        <v>771</v>
      </c>
      <c r="I18" s="133" t="s">
        <v>772</v>
      </c>
      <c r="J18" s="133" t="s">
        <v>752</v>
      </c>
      <c r="K18" s="131" t="s">
        <v>753</v>
      </c>
      <c r="L18" s="133" t="s">
        <v>724</v>
      </c>
      <c r="M18" s="133" t="s">
        <v>724</v>
      </c>
      <c r="N18" s="133" t="s">
        <v>735</v>
      </c>
      <c r="O18" s="133" t="s">
        <v>744</v>
      </c>
      <c r="P18" s="133" t="s">
        <v>754</v>
      </c>
      <c r="Q18" s="131" t="s">
        <v>755</v>
      </c>
      <c r="R18" s="133" t="s">
        <v>718</v>
      </c>
      <c r="S18" s="133"/>
      <c r="T18" s="133"/>
      <c r="U18" s="131"/>
      <c r="V18" s="133">
        <v>2026</v>
      </c>
      <c r="W18" s="140">
        <v>46112</v>
      </c>
      <c r="X18" s="141" t="s">
        <v>756</v>
      </c>
      <c r="Y18" s="131">
        <v>3</v>
      </c>
      <c r="Z18" s="131"/>
      <c r="AA18" s="131"/>
      <c r="AB18" s="131"/>
      <c r="AC18" s="131"/>
      <c r="AD18" s="131"/>
      <c r="AE18" s="154">
        <v>46023</v>
      </c>
      <c r="AF18" s="154">
        <v>46112</v>
      </c>
      <c r="AG18" s="95"/>
      <c r="AH18" s="95"/>
      <c r="AI18" s="95"/>
      <c r="AJ18" s="95"/>
      <c r="AK18" s="95"/>
      <c r="AL18" s="95"/>
      <c r="AM18" s="162"/>
      <c r="AN18" s="162"/>
      <c r="AO18" s="162"/>
      <c r="AP18" s="166">
        <v>8250</v>
      </c>
      <c r="AQ18" s="166">
        <v>20032</v>
      </c>
      <c r="AR18" s="166">
        <f t="shared" si="0"/>
        <v>3</v>
      </c>
      <c r="AS18" s="169">
        <f t="shared" si="1"/>
        <v>24</v>
      </c>
      <c r="AT18" s="168"/>
    </row>
    <row r="19" s="116" customFormat="1" ht="71.25" hidden="1" spans="1:46">
      <c r="A19" s="131" t="s">
        <v>722</v>
      </c>
      <c r="B19" s="131" t="s">
        <v>723</v>
      </c>
      <c r="C19" s="131" t="s">
        <v>735</v>
      </c>
      <c r="D19" s="133" t="s">
        <v>747</v>
      </c>
      <c r="E19" s="133" t="s">
        <v>748</v>
      </c>
      <c r="F19" s="133" t="s">
        <v>749</v>
      </c>
      <c r="G19" s="133"/>
      <c r="H19" s="133" t="s">
        <v>773</v>
      </c>
      <c r="I19" s="133" t="s">
        <v>774</v>
      </c>
      <c r="J19" s="133" t="s">
        <v>752</v>
      </c>
      <c r="K19" s="131" t="s">
        <v>753</v>
      </c>
      <c r="L19" s="133" t="s">
        <v>724</v>
      </c>
      <c r="M19" s="133" t="s">
        <v>724</v>
      </c>
      <c r="N19" s="133" t="s">
        <v>735</v>
      </c>
      <c r="O19" s="133" t="s">
        <v>744</v>
      </c>
      <c r="P19" s="133" t="s">
        <v>754</v>
      </c>
      <c r="Q19" s="131" t="s">
        <v>755</v>
      </c>
      <c r="R19" s="133" t="s">
        <v>718</v>
      </c>
      <c r="S19" s="133"/>
      <c r="T19" s="133"/>
      <c r="U19" s="131"/>
      <c r="V19" s="133">
        <v>2026</v>
      </c>
      <c r="W19" s="140">
        <v>46112</v>
      </c>
      <c r="X19" s="141" t="s">
        <v>756</v>
      </c>
      <c r="Y19" s="131">
        <v>4</v>
      </c>
      <c r="Z19" s="131"/>
      <c r="AA19" s="131"/>
      <c r="AB19" s="131"/>
      <c r="AC19" s="131"/>
      <c r="AD19" s="131"/>
      <c r="AE19" s="154">
        <v>46023</v>
      </c>
      <c r="AF19" s="154">
        <v>46112</v>
      </c>
      <c r="AG19" s="95"/>
      <c r="AH19" s="95"/>
      <c r="AI19" s="95"/>
      <c r="AJ19" s="95"/>
      <c r="AK19" s="95"/>
      <c r="AL19" s="95"/>
      <c r="AM19" s="162"/>
      <c r="AN19" s="162"/>
      <c r="AO19" s="162"/>
      <c r="AP19" s="166">
        <v>8251</v>
      </c>
      <c r="AQ19" s="166">
        <v>20033</v>
      </c>
      <c r="AR19" s="166">
        <f t="shared" si="0"/>
        <v>4</v>
      </c>
      <c r="AS19" s="169">
        <f t="shared" si="1"/>
        <v>32</v>
      </c>
      <c r="AT19" s="168"/>
    </row>
    <row r="20" s="116" customFormat="1" ht="71.25" hidden="1" spans="1:46">
      <c r="A20" s="131" t="s">
        <v>722</v>
      </c>
      <c r="B20" s="131" t="s">
        <v>723</v>
      </c>
      <c r="C20" s="131" t="s">
        <v>735</v>
      </c>
      <c r="D20" s="133" t="s">
        <v>747</v>
      </c>
      <c r="E20" s="133" t="s">
        <v>748</v>
      </c>
      <c r="F20" s="133" t="s">
        <v>749</v>
      </c>
      <c r="G20" s="133"/>
      <c r="H20" s="133" t="s">
        <v>775</v>
      </c>
      <c r="I20" s="133" t="s">
        <v>776</v>
      </c>
      <c r="J20" s="133" t="s">
        <v>752</v>
      </c>
      <c r="K20" s="131" t="s">
        <v>753</v>
      </c>
      <c r="L20" s="133" t="s">
        <v>724</v>
      </c>
      <c r="M20" s="133" t="s">
        <v>724</v>
      </c>
      <c r="N20" s="133" t="s">
        <v>735</v>
      </c>
      <c r="O20" s="133" t="s">
        <v>744</v>
      </c>
      <c r="P20" s="133" t="s">
        <v>754</v>
      </c>
      <c r="Q20" s="131" t="s">
        <v>755</v>
      </c>
      <c r="R20" s="133" t="s">
        <v>718</v>
      </c>
      <c r="S20" s="133"/>
      <c r="T20" s="133"/>
      <c r="U20" s="131"/>
      <c r="V20" s="133">
        <v>2026</v>
      </c>
      <c r="W20" s="140">
        <v>46112</v>
      </c>
      <c r="X20" s="141" t="s">
        <v>756</v>
      </c>
      <c r="Y20" s="131">
        <v>1</v>
      </c>
      <c r="Z20" s="131"/>
      <c r="AA20" s="131"/>
      <c r="AB20" s="131"/>
      <c r="AC20" s="131"/>
      <c r="AD20" s="131"/>
      <c r="AE20" s="154">
        <v>46023</v>
      </c>
      <c r="AF20" s="154">
        <v>46112</v>
      </c>
      <c r="AG20" s="95"/>
      <c r="AH20" s="95"/>
      <c r="AI20" s="95"/>
      <c r="AJ20" s="95"/>
      <c r="AK20" s="95"/>
      <c r="AL20" s="95"/>
      <c r="AM20" s="162"/>
      <c r="AN20" s="162"/>
      <c r="AO20" s="162"/>
      <c r="AP20" s="166">
        <v>8252</v>
      </c>
      <c r="AQ20" s="166">
        <v>20034</v>
      </c>
      <c r="AR20" s="166">
        <f t="shared" si="0"/>
        <v>1</v>
      </c>
      <c r="AS20" s="169">
        <f t="shared" si="1"/>
        <v>8</v>
      </c>
      <c r="AT20" s="168"/>
    </row>
    <row r="21" s="116" customFormat="1" ht="71.25" hidden="1" spans="1:46">
      <c r="A21" s="131" t="s">
        <v>722</v>
      </c>
      <c r="B21" s="131" t="s">
        <v>723</v>
      </c>
      <c r="C21" s="131" t="s">
        <v>735</v>
      </c>
      <c r="D21" s="133" t="s">
        <v>747</v>
      </c>
      <c r="E21" s="133" t="s">
        <v>748</v>
      </c>
      <c r="F21" s="133" t="s">
        <v>749</v>
      </c>
      <c r="G21" s="133"/>
      <c r="H21" s="133" t="s">
        <v>777</v>
      </c>
      <c r="I21" s="133" t="s">
        <v>778</v>
      </c>
      <c r="J21" s="133" t="s">
        <v>752</v>
      </c>
      <c r="K21" s="131" t="s">
        <v>753</v>
      </c>
      <c r="L21" s="133" t="s">
        <v>724</v>
      </c>
      <c r="M21" s="133" t="s">
        <v>724</v>
      </c>
      <c r="N21" s="133" t="s">
        <v>735</v>
      </c>
      <c r="O21" s="133" t="s">
        <v>744</v>
      </c>
      <c r="P21" s="133" t="s">
        <v>754</v>
      </c>
      <c r="Q21" s="131" t="s">
        <v>755</v>
      </c>
      <c r="R21" s="133" t="s">
        <v>718</v>
      </c>
      <c r="S21" s="133"/>
      <c r="T21" s="133"/>
      <c r="U21" s="131"/>
      <c r="V21" s="133">
        <v>2026</v>
      </c>
      <c r="W21" s="140">
        <v>46112</v>
      </c>
      <c r="X21" s="141" t="s">
        <v>756</v>
      </c>
      <c r="Y21" s="131">
        <v>3</v>
      </c>
      <c r="Z21" s="131"/>
      <c r="AA21" s="131"/>
      <c r="AB21" s="131"/>
      <c r="AC21" s="131"/>
      <c r="AD21" s="131"/>
      <c r="AE21" s="154">
        <v>46023</v>
      </c>
      <c r="AF21" s="154">
        <v>46112</v>
      </c>
      <c r="AG21" s="95"/>
      <c r="AH21" s="95"/>
      <c r="AI21" s="95"/>
      <c r="AJ21" s="95"/>
      <c r="AK21" s="95"/>
      <c r="AL21" s="95"/>
      <c r="AM21" s="162"/>
      <c r="AN21" s="162"/>
      <c r="AO21" s="162"/>
      <c r="AP21" s="166">
        <v>8253</v>
      </c>
      <c r="AQ21" s="166">
        <v>20035</v>
      </c>
      <c r="AR21" s="166">
        <f t="shared" si="0"/>
        <v>3</v>
      </c>
      <c r="AS21" s="169">
        <f t="shared" si="1"/>
        <v>24</v>
      </c>
      <c r="AT21" s="168"/>
    </row>
    <row r="22" s="116" customFormat="1" ht="71.25" hidden="1" spans="1:46">
      <c r="A22" s="131" t="s">
        <v>722</v>
      </c>
      <c r="B22" s="131" t="s">
        <v>723</v>
      </c>
      <c r="C22" s="131" t="s">
        <v>735</v>
      </c>
      <c r="D22" s="133" t="s">
        <v>747</v>
      </c>
      <c r="E22" s="133" t="s">
        <v>748</v>
      </c>
      <c r="F22" s="133" t="s">
        <v>749</v>
      </c>
      <c r="G22" s="133"/>
      <c r="H22" s="133" t="s">
        <v>779</v>
      </c>
      <c r="I22" s="133" t="s">
        <v>780</v>
      </c>
      <c r="J22" s="133" t="s">
        <v>752</v>
      </c>
      <c r="K22" s="131" t="s">
        <v>753</v>
      </c>
      <c r="L22" s="133" t="s">
        <v>724</v>
      </c>
      <c r="M22" s="133" t="s">
        <v>724</v>
      </c>
      <c r="N22" s="133" t="s">
        <v>735</v>
      </c>
      <c r="O22" s="133" t="s">
        <v>744</v>
      </c>
      <c r="P22" s="133" t="s">
        <v>754</v>
      </c>
      <c r="Q22" s="131" t="s">
        <v>755</v>
      </c>
      <c r="R22" s="133" t="s">
        <v>718</v>
      </c>
      <c r="S22" s="133"/>
      <c r="T22" s="133"/>
      <c r="U22" s="131"/>
      <c r="V22" s="133">
        <v>2026</v>
      </c>
      <c r="W22" s="140">
        <v>46112</v>
      </c>
      <c r="X22" s="141" t="s">
        <v>756</v>
      </c>
      <c r="Y22" s="131">
        <v>5</v>
      </c>
      <c r="Z22" s="131"/>
      <c r="AA22" s="131"/>
      <c r="AB22" s="131"/>
      <c r="AC22" s="131"/>
      <c r="AD22" s="131"/>
      <c r="AE22" s="154">
        <v>46023</v>
      </c>
      <c r="AF22" s="154">
        <v>46112</v>
      </c>
      <c r="AG22" s="95"/>
      <c r="AH22" s="95"/>
      <c r="AI22" s="95"/>
      <c r="AJ22" s="95"/>
      <c r="AK22" s="95"/>
      <c r="AL22" s="95"/>
      <c r="AM22" s="162"/>
      <c r="AN22" s="162"/>
      <c r="AO22" s="162"/>
      <c r="AP22" s="166">
        <v>8254</v>
      </c>
      <c r="AQ22" s="166">
        <v>20036</v>
      </c>
      <c r="AR22" s="166">
        <f t="shared" si="0"/>
        <v>5</v>
      </c>
      <c r="AS22" s="169">
        <f t="shared" si="1"/>
        <v>40</v>
      </c>
      <c r="AT22" s="168"/>
    </row>
    <row r="23" s="116" customFormat="1" ht="71.25" hidden="1" spans="1:46">
      <c r="A23" s="131" t="s">
        <v>722</v>
      </c>
      <c r="B23" s="131" t="s">
        <v>723</v>
      </c>
      <c r="C23" s="131" t="s">
        <v>735</v>
      </c>
      <c r="D23" s="133" t="s">
        <v>747</v>
      </c>
      <c r="E23" s="133" t="s">
        <v>748</v>
      </c>
      <c r="F23" s="133" t="s">
        <v>749</v>
      </c>
      <c r="G23" s="133"/>
      <c r="H23" s="133" t="s">
        <v>781</v>
      </c>
      <c r="I23" s="133" t="s">
        <v>782</v>
      </c>
      <c r="J23" s="133" t="s">
        <v>752</v>
      </c>
      <c r="K23" s="131" t="s">
        <v>753</v>
      </c>
      <c r="L23" s="133" t="s">
        <v>724</v>
      </c>
      <c r="M23" s="133" t="s">
        <v>724</v>
      </c>
      <c r="N23" s="133" t="s">
        <v>735</v>
      </c>
      <c r="O23" s="133" t="s">
        <v>744</v>
      </c>
      <c r="P23" s="133" t="s">
        <v>754</v>
      </c>
      <c r="Q23" s="131" t="s">
        <v>755</v>
      </c>
      <c r="R23" s="133" t="s">
        <v>718</v>
      </c>
      <c r="S23" s="133"/>
      <c r="T23" s="133"/>
      <c r="U23" s="131"/>
      <c r="V23" s="133">
        <v>2026</v>
      </c>
      <c r="W23" s="140">
        <v>46112</v>
      </c>
      <c r="X23" s="141" t="s">
        <v>756</v>
      </c>
      <c r="Y23" s="131">
        <v>28</v>
      </c>
      <c r="Z23" s="131"/>
      <c r="AA23" s="131"/>
      <c r="AB23" s="131"/>
      <c r="AC23" s="131"/>
      <c r="AD23" s="131"/>
      <c r="AE23" s="154">
        <v>46023</v>
      </c>
      <c r="AF23" s="154">
        <v>46112</v>
      </c>
      <c r="AG23" s="95"/>
      <c r="AH23" s="95"/>
      <c r="AI23" s="95"/>
      <c r="AJ23" s="95"/>
      <c r="AK23" s="95"/>
      <c r="AL23" s="95"/>
      <c r="AM23" s="162"/>
      <c r="AN23" s="162"/>
      <c r="AO23" s="162"/>
      <c r="AP23" s="166">
        <v>8255</v>
      </c>
      <c r="AQ23" s="166">
        <v>20037</v>
      </c>
      <c r="AR23" s="166">
        <f t="shared" si="0"/>
        <v>28</v>
      </c>
      <c r="AS23" s="169">
        <f t="shared" si="1"/>
        <v>224</v>
      </c>
      <c r="AT23" s="168"/>
    </row>
    <row r="24" s="116" customFormat="1" ht="71.25" hidden="1" spans="1:46">
      <c r="A24" s="131" t="s">
        <v>722</v>
      </c>
      <c r="B24" s="131" t="s">
        <v>734</v>
      </c>
      <c r="C24" s="131" t="s">
        <v>735</v>
      </c>
      <c r="D24" s="133" t="s">
        <v>747</v>
      </c>
      <c r="E24" s="133" t="s">
        <v>748</v>
      </c>
      <c r="F24" s="133" t="s">
        <v>749</v>
      </c>
      <c r="G24" s="133"/>
      <c r="H24" s="133" t="s">
        <v>783</v>
      </c>
      <c r="I24" s="133" t="s">
        <v>784</v>
      </c>
      <c r="J24" s="133" t="s">
        <v>752</v>
      </c>
      <c r="K24" s="133" t="s">
        <v>785</v>
      </c>
      <c r="L24" s="133" t="s">
        <v>724</v>
      </c>
      <c r="M24" s="133" t="s">
        <v>724</v>
      </c>
      <c r="N24" s="133" t="s">
        <v>735</v>
      </c>
      <c r="O24" s="133" t="s">
        <v>744</v>
      </c>
      <c r="P24" s="133" t="s">
        <v>786</v>
      </c>
      <c r="Q24" s="133" t="s">
        <v>717</v>
      </c>
      <c r="R24" s="133" t="s">
        <v>717</v>
      </c>
      <c r="S24" s="133">
        <v>0</v>
      </c>
      <c r="T24" s="133">
        <v>1</v>
      </c>
      <c r="U24" s="131">
        <v>0</v>
      </c>
      <c r="V24" s="133">
        <v>2026</v>
      </c>
      <c r="W24" s="140">
        <v>46112</v>
      </c>
      <c r="X24" s="141" t="s">
        <v>756</v>
      </c>
      <c r="Y24" s="131"/>
      <c r="Z24" s="131">
        <v>25</v>
      </c>
      <c r="AA24" s="131"/>
      <c r="AB24" s="131"/>
      <c r="AC24" s="131"/>
      <c r="AD24" s="131"/>
      <c r="AE24" s="154">
        <v>46023</v>
      </c>
      <c r="AF24" s="154">
        <v>46112</v>
      </c>
      <c r="AG24" s="95"/>
      <c r="AH24" s="95"/>
      <c r="AI24" s="95"/>
      <c r="AJ24" s="95"/>
      <c r="AK24" s="95"/>
      <c r="AL24" s="95"/>
      <c r="AM24" s="162"/>
      <c r="AN24" s="162"/>
      <c r="AO24" s="162"/>
      <c r="AP24" s="166">
        <v>8256</v>
      </c>
      <c r="AQ24" s="166">
        <v>20038</v>
      </c>
      <c r="AR24" s="166">
        <f t="shared" si="0"/>
        <v>25</v>
      </c>
      <c r="AS24" s="169">
        <f t="shared" si="1"/>
        <v>200</v>
      </c>
      <c r="AT24" s="168"/>
    </row>
    <row r="25" s="116" customFormat="1" ht="71.25" hidden="1" spans="1:46">
      <c r="A25" s="131" t="s">
        <v>722</v>
      </c>
      <c r="B25" s="131" t="s">
        <v>734</v>
      </c>
      <c r="C25" s="131" t="s">
        <v>735</v>
      </c>
      <c r="D25" s="133" t="s">
        <v>747</v>
      </c>
      <c r="E25" s="133" t="s">
        <v>748</v>
      </c>
      <c r="F25" s="133" t="s">
        <v>749</v>
      </c>
      <c r="G25" s="133"/>
      <c r="H25" s="133" t="s">
        <v>787</v>
      </c>
      <c r="I25" s="133" t="s">
        <v>784</v>
      </c>
      <c r="J25" s="133" t="s">
        <v>752</v>
      </c>
      <c r="K25" s="133" t="s">
        <v>785</v>
      </c>
      <c r="L25" s="133" t="s">
        <v>724</v>
      </c>
      <c r="M25" s="133" t="s">
        <v>724</v>
      </c>
      <c r="N25" s="133" t="s">
        <v>735</v>
      </c>
      <c r="O25" s="133" t="s">
        <v>744</v>
      </c>
      <c r="P25" s="133" t="s">
        <v>786</v>
      </c>
      <c r="Q25" s="133" t="s">
        <v>717</v>
      </c>
      <c r="R25" s="133" t="s">
        <v>717</v>
      </c>
      <c r="S25" s="133">
        <v>0</v>
      </c>
      <c r="T25" s="133">
        <v>1</v>
      </c>
      <c r="U25" s="131">
        <v>0</v>
      </c>
      <c r="V25" s="133">
        <v>2026</v>
      </c>
      <c r="W25" s="140">
        <v>46112</v>
      </c>
      <c r="X25" s="141" t="s">
        <v>756</v>
      </c>
      <c r="Y25" s="131"/>
      <c r="Z25" s="131">
        <v>30</v>
      </c>
      <c r="AA25" s="131"/>
      <c r="AB25" s="131"/>
      <c r="AC25" s="131"/>
      <c r="AD25" s="131"/>
      <c r="AE25" s="154">
        <v>46023</v>
      </c>
      <c r="AF25" s="154">
        <v>46112</v>
      </c>
      <c r="AG25" s="95"/>
      <c r="AH25" s="95"/>
      <c r="AI25" s="95"/>
      <c r="AJ25" s="95"/>
      <c r="AK25" s="95"/>
      <c r="AL25" s="95"/>
      <c r="AM25" s="162"/>
      <c r="AN25" s="162"/>
      <c r="AO25" s="162"/>
      <c r="AP25" s="166">
        <v>8257</v>
      </c>
      <c r="AQ25" s="166">
        <v>20039</v>
      </c>
      <c r="AR25" s="166">
        <f t="shared" si="0"/>
        <v>30</v>
      </c>
      <c r="AS25" s="169">
        <f t="shared" si="1"/>
        <v>240</v>
      </c>
      <c r="AT25" s="168"/>
    </row>
    <row r="26" s="116" customFormat="1" ht="71.25" hidden="1" spans="1:46">
      <c r="A26" s="131" t="s">
        <v>722</v>
      </c>
      <c r="B26" s="131" t="s">
        <v>734</v>
      </c>
      <c r="C26" s="131" t="s">
        <v>735</v>
      </c>
      <c r="D26" s="133" t="s">
        <v>747</v>
      </c>
      <c r="E26" s="133" t="s">
        <v>748</v>
      </c>
      <c r="F26" s="133" t="s">
        <v>749</v>
      </c>
      <c r="G26" s="133"/>
      <c r="H26" s="133" t="s">
        <v>788</v>
      </c>
      <c r="I26" s="133" t="s">
        <v>784</v>
      </c>
      <c r="J26" s="133" t="s">
        <v>752</v>
      </c>
      <c r="K26" s="133" t="s">
        <v>785</v>
      </c>
      <c r="L26" s="133" t="s">
        <v>724</v>
      </c>
      <c r="M26" s="133" t="s">
        <v>724</v>
      </c>
      <c r="N26" s="133" t="s">
        <v>735</v>
      </c>
      <c r="O26" s="133" t="s">
        <v>744</v>
      </c>
      <c r="P26" s="133" t="s">
        <v>786</v>
      </c>
      <c r="Q26" s="133" t="s">
        <v>717</v>
      </c>
      <c r="R26" s="133" t="s">
        <v>717</v>
      </c>
      <c r="S26" s="133">
        <v>0</v>
      </c>
      <c r="T26" s="133">
        <v>1</v>
      </c>
      <c r="U26" s="131">
        <v>0</v>
      </c>
      <c r="V26" s="133">
        <v>2026</v>
      </c>
      <c r="W26" s="142">
        <v>46112</v>
      </c>
      <c r="X26" s="141" t="s">
        <v>756</v>
      </c>
      <c r="Y26" s="131"/>
      <c r="Z26" s="131">
        <v>2</v>
      </c>
      <c r="AA26" s="131"/>
      <c r="AB26" s="131"/>
      <c r="AC26" s="131"/>
      <c r="AD26" s="131"/>
      <c r="AE26" s="154">
        <v>46023</v>
      </c>
      <c r="AF26" s="154">
        <v>46112</v>
      </c>
      <c r="AG26" s="95"/>
      <c r="AH26" s="95"/>
      <c r="AI26" s="95"/>
      <c r="AJ26" s="95"/>
      <c r="AK26" s="95"/>
      <c r="AL26" s="95"/>
      <c r="AM26" s="162"/>
      <c r="AN26" s="162"/>
      <c r="AO26" s="162"/>
      <c r="AP26" s="166">
        <v>8258</v>
      </c>
      <c r="AQ26" s="166">
        <v>20040</v>
      </c>
      <c r="AR26" s="166">
        <f t="shared" si="0"/>
        <v>2</v>
      </c>
      <c r="AS26" s="169">
        <f t="shared" si="1"/>
        <v>16</v>
      </c>
      <c r="AT26" s="168"/>
    </row>
    <row r="27" s="116" customFormat="1" ht="71.25" hidden="1" spans="1:46">
      <c r="A27" s="131" t="s">
        <v>722</v>
      </c>
      <c r="B27" s="131" t="s">
        <v>734</v>
      </c>
      <c r="C27" s="131" t="s">
        <v>735</v>
      </c>
      <c r="D27" s="133" t="s">
        <v>747</v>
      </c>
      <c r="E27" s="133" t="s">
        <v>748</v>
      </c>
      <c r="F27" s="133" t="s">
        <v>749</v>
      </c>
      <c r="G27" s="133"/>
      <c r="H27" s="133" t="s">
        <v>789</v>
      </c>
      <c r="I27" s="133" t="s">
        <v>784</v>
      </c>
      <c r="J27" s="133" t="s">
        <v>752</v>
      </c>
      <c r="K27" s="133" t="s">
        <v>785</v>
      </c>
      <c r="L27" s="133" t="s">
        <v>724</v>
      </c>
      <c r="M27" s="133" t="s">
        <v>724</v>
      </c>
      <c r="N27" s="133" t="s">
        <v>735</v>
      </c>
      <c r="O27" s="133" t="s">
        <v>744</v>
      </c>
      <c r="P27" s="133" t="s">
        <v>786</v>
      </c>
      <c r="Q27" s="133" t="s">
        <v>717</v>
      </c>
      <c r="R27" s="133" t="s">
        <v>717</v>
      </c>
      <c r="S27" s="133">
        <v>0</v>
      </c>
      <c r="T27" s="133">
        <v>1</v>
      </c>
      <c r="U27" s="131">
        <v>0</v>
      </c>
      <c r="V27" s="133">
        <v>2026</v>
      </c>
      <c r="W27" s="142">
        <v>46112</v>
      </c>
      <c r="X27" s="141" t="s">
        <v>756</v>
      </c>
      <c r="Y27" s="131"/>
      <c r="Z27" s="131">
        <v>1</v>
      </c>
      <c r="AA27" s="131"/>
      <c r="AB27" s="131"/>
      <c r="AC27" s="131"/>
      <c r="AD27" s="131"/>
      <c r="AE27" s="154">
        <v>46023</v>
      </c>
      <c r="AF27" s="154">
        <v>46112</v>
      </c>
      <c r="AG27" s="95"/>
      <c r="AH27" s="95"/>
      <c r="AI27" s="95"/>
      <c r="AJ27" s="95"/>
      <c r="AK27" s="95"/>
      <c r="AL27" s="95"/>
      <c r="AM27" s="162"/>
      <c r="AN27" s="162"/>
      <c r="AO27" s="162"/>
      <c r="AP27" s="166">
        <v>8259</v>
      </c>
      <c r="AQ27" s="166">
        <v>20041</v>
      </c>
      <c r="AR27" s="166">
        <f t="shared" si="0"/>
        <v>1</v>
      </c>
      <c r="AS27" s="169">
        <f t="shared" si="1"/>
        <v>8</v>
      </c>
      <c r="AT27" s="168"/>
    </row>
    <row r="28" s="116" customFormat="1" ht="71.25" hidden="1" spans="1:46">
      <c r="A28" s="131" t="s">
        <v>722</v>
      </c>
      <c r="B28" s="131" t="s">
        <v>734</v>
      </c>
      <c r="C28" s="131" t="s">
        <v>735</v>
      </c>
      <c r="D28" s="133" t="s">
        <v>747</v>
      </c>
      <c r="E28" s="133" t="s">
        <v>748</v>
      </c>
      <c r="F28" s="133" t="s">
        <v>749</v>
      </c>
      <c r="G28" s="133"/>
      <c r="H28" s="133" t="s">
        <v>790</v>
      </c>
      <c r="I28" s="133" t="s">
        <v>784</v>
      </c>
      <c r="J28" s="133" t="s">
        <v>752</v>
      </c>
      <c r="K28" s="133" t="s">
        <v>785</v>
      </c>
      <c r="L28" s="133" t="s">
        <v>724</v>
      </c>
      <c r="M28" s="133" t="s">
        <v>724</v>
      </c>
      <c r="N28" s="133" t="s">
        <v>735</v>
      </c>
      <c r="O28" s="133" t="s">
        <v>744</v>
      </c>
      <c r="P28" s="133" t="s">
        <v>786</v>
      </c>
      <c r="Q28" s="133" t="s">
        <v>717</v>
      </c>
      <c r="R28" s="133" t="s">
        <v>717</v>
      </c>
      <c r="S28" s="133"/>
      <c r="T28" s="133"/>
      <c r="U28" s="131"/>
      <c r="V28" s="133">
        <v>2026</v>
      </c>
      <c r="W28" s="142">
        <v>46112</v>
      </c>
      <c r="X28" s="141" t="s">
        <v>756</v>
      </c>
      <c r="Y28" s="131"/>
      <c r="Z28" s="131">
        <v>1</v>
      </c>
      <c r="AA28" s="131"/>
      <c r="AB28" s="131"/>
      <c r="AC28" s="131"/>
      <c r="AD28" s="131"/>
      <c r="AE28" s="154">
        <v>46023</v>
      </c>
      <c r="AF28" s="154">
        <v>46112</v>
      </c>
      <c r="AG28" s="95"/>
      <c r="AH28" s="95"/>
      <c r="AI28" s="95"/>
      <c r="AJ28" s="95"/>
      <c r="AK28" s="95"/>
      <c r="AL28" s="95"/>
      <c r="AM28" s="162"/>
      <c r="AN28" s="162"/>
      <c r="AO28" s="162"/>
      <c r="AP28" s="166">
        <v>8260</v>
      </c>
      <c r="AQ28" s="166">
        <v>20042</v>
      </c>
      <c r="AR28" s="166">
        <f t="shared" si="0"/>
        <v>1</v>
      </c>
      <c r="AS28" s="169">
        <f t="shared" si="1"/>
        <v>8</v>
      </c>
      <c r="AT28" s="168"/>
    </row>
    <row r="29" s="116" customFormat="1" ht="71.25" hidden="1" spans="1:46">
      <c r="A29" s="131" t="s">
        <v>722</v>
      </c>
      <c r="B29" s="131" t="s">
        <v>734</v>
      </c>
      <c r="C29" s="131" t="s">
        <v>735</v>
      </c>
      <c r="D29" s="133" t="s">
        <v>747</v>
      </c>
      <c r="E29" s="133" t="s">
        <v>748</v>
      </c>
      <c r="F29" s="133" t="s">
        <v>749</v>
      </c>
      <c r="G29" s="133"/>
      <c r="H29" s="133" t="s">
        <v>791</v>
      </c>
      <c r="I29" s="133" t="s">
        <v>784</v>
      </c>
      <c r="J29" s="133" t="s">
        <v>778</v>
      </c>
      <c r="K29" s="133" t="s">
        <v>785</v>
      </c>
      <c r="L29" s="133" t="s">
        <v>724</v>
      </c>
      <c r="M29" s="133" t="s">
        <v>724</v>
      </c>
      <c r="N29" s="133" t="s">
        <v>735</v>
      </c>
      <c r="O29" s="133" t="s">
        <v>744</v>
      </c>
      <c r="P29" s="133" t="s">
        <v>786</v>
      </c>
      <c r="Q29" s="133" t="s">
        <v>717</v>
      </c>
      <c r="R29" s="133" t="s">
        <v>717</v>
      </c>
      <c r="S29" s="133"/>
      <c r="T29" s="133"/>
      <c r="U29" s="131"/>
      <c r="V29" s="133">
        <v>2026</v>
      </c>
      <c r="W29" s="142">
        <v>46112</v>
      </c>
      <c r="X29" s="141" t="s">
        <v>756</v>
      </c>
      <c r="Y29" s="131"/>
      <c r="Z29" s="131">
        <v>2</v>
      </c>
      <c r="AA29" s="131"/>
      <c r="AB29" s="131"/>
      <c r="AC29" s="131"/>
      <c r="AD29" s="131"/>
      <c r="AE29" s="154">
        <v>46023</v>
      </c>
      <c r="AF29" s="154">
        <v>46112</v>
      </c>
      <c r="AG29" s="95"/>
      <c r="AH29" s="95"/>
      <c r="AI29" s="95"/>
      <c r="AJ29" s="95"/>
      <c r="AK29" s="95"/>
      <c r="AL29" s="95"/>
      <c r="AM29" s="162"/>
      <c r="AN29" s="162"/>
      <c r="AO29" s="162"/>
      <c r="AP29" s="166">
        <v>8261</v>
      </c>
      <c r="AQ29" s="166">
        <v>20043</v>
      </c>
      <c r="AR29" s="166">
        <f t="shared" si="0"/>
        <v>2</v>
      </c>
      <c r="AS29" s="169">
        <f t="shared" si="1"/>
        <v>16</v>
      </c>
      <c r="AT29" s="168"/>
    </row>
    <row r="30" s="116" customFormat="1" ht="71.25" hidden="1" spans="1:46">
      <c r="A30" s="131" t="s">
        <v>722</v>
      </c>
      <c r="B30" s="131" t="s">
        <v>734</v>
      </c>
      <c r="C30" s="131" t="s">
        <v>735</v>
      </c>
      <c r="D30" s="133" t="s">
        <v>747</v>
      </c>
      <c r="E30" s="133" t="s">
        <v>748</v>
      </c>
      <c r="F30" s="133" t="s">
        <v>749</v>
      </c>
      <c r="G30" s="133"/>
      <c r="H30" s="133" t="s">
        <v>792</v>
      </c>
      <c r="I30" s="133" t="s">
        <v>784</v>
      </c>
      <c r="J30" s="133" t="s">
        <v>752</v>
      </c>
      <c r="K30" s="133" t="s">
        <v>785</v>
      </c>
      <c r="L30" s="133" t="s">
        <v>724</v>
      </c>
      <c r="M30" s="133" t="s">
        <v>724</v>
      </c>
      <c r="N30" s="133" t="s">
        <v>735</v>
      </c>
      <c r="O30" s="133" t="s">
        <v>744</v>
      </c>
      <c r="P30" s="133" t="s">
        <v>786</v>
      </c>
      <c r="Q30" s="133" t="s">
        <v>717</v>
      </c>
      <c r="R30" s="133" t="s">
        <v>717</v>
      </c>
      <c r="S30" s="133"/>
      <c r="T30" s="133"/>
      <c r="U30" s="131"/>
      <c r="V30" s="133">
        <v>2026</v>
      </c>
      <c r="W30" s="142">
        <v>46112</v>
      </c>
      <c r="X30" s="141" t="s">
        <v>756</v>
      </c>
      <c r="Y30" s="131"/>
      <c r="Z30" s="131">
        <v>5</v>
      </c>
      <c r="AA30" s="131"/>
      <c r="AB30" s="131"/>
      <c r="AC30" s="131"/>
      <c r="AD30" s="131"/>
      <c r="AE30" s="154">
        <v>46023</v>
      </c>
      <c r="AF30" s="154">
        <v>46112</v>
      </c>
      <c r="AG30" s="95"/>
      <c r="AH30" s="95"/>
      <c r="AI30" s="95"/>
      <c r="AJ30" s="95"/>
      <c r="AK30" s="95"/>
      <c r="AL30" s="95"/>
      <c r="AM30" s="162"/>
      <c r="AN30" s="162"/>
      <c r="AO30" s="162"/>
      <c r="AP30" s="166">
        <v>8262</v>
      </c>
      <c r="AQ30" s="166">
        <v>20044</v>
      </c>
      <c r="AR30" s="166">
        <f t="shared" si="0"/>
        <v>5</v>
      </c>
      <c r="AS30" s="169">
        <f t="shared" si="1"/>
        <v>40</v>
      </c>
      <c r="AT30" s="168"/>
    </row>
    <row r="31" s="116" customFormat="1" ht="99.75" spans="1:46">
      <c r="A31" s="131" t="s">
        <v>722</v>
      </c>
      <c r="B31" s="131" t="s">
        <v>734</v>
      </c>
      <c r="C31" s="131" t="s">
        <v>735</v>
      </c>
      <c r="D31" s="133" t="s">
        <v>736</v>
      </c>
      <c r="E31" s="133" t="s">
        <v>737</v>
      </c>
      <c r="F31" s="133" t="s">
        <v>793</v>
      </c>
      <c r="G31" s="133" t="s">
        <v>794</v>
      </c>
      <c r="H31" s="133" t="s">
        <v>795</v>
      </c>
      <c r="I31" s="133" t="s">
        <v>796</v>
      </c>
      <c r="J31" s="133" t="s">
        <v>797</v>
      </c>
      <c r="K31" s="133" t="s">
        <v>798</v>
      </c>
      <c r="L31" s="133" t="s">
        <v>724</v>
      </c>
      <c r="M31" s="133" t="s">
        <v>724</v>
      </c>
      <c r="N31" s="133" t="s">
        <v>735</v>
      </c>
      <c r="O31" s="133" t="s">
        <v>19</v>
      </c>
      <c r="P31" s="133" t="s">
        <v>799</v>
      </c>
      <c r="Q31" s="133" t="s">
        <v>717</v>
      </c>
      <c r="R31" s="133" t="s">
        <v>718</v>
      </c>
      <c r="S31" s="133"/>
      <c r="T31" s="133">
        <v>2</v>
      </c>
      <c r="U31" s="131"/>
      <c r="V31" s="133">
        <v>2026</v>
      </c>
      <c r="W31" s="142">
        <v>46112</v>
      </c>
      <c r="X31" s="141" t="s">
        <v>746</v>
      </c>
      <c r="Y31" s="131"/>
      <c r="Z31" s="131">
        <v>35</v>
      </c>
      <c r="AA31" s="131"/>
      <c r="AB31" s="131"/>
      <c r="AC31" s="131"/>
      <c r="AD31" s="131"/>
      <c r="AE31" s="154">
        <v>46023</v>
      </c>
      <c r="AF31" s="154">
        <v>46112</v>
      </c>
      <c r="AG31" s="131"/>
      <c r="AH31" s="161"/>
      <c r="AI31" s="131"/>
      <c r="AJ31" s="131"/>
      <c r="AK31" s="131"/>
      <c r="AL31" s="131"/>
      <c r="AM31" s="162"/>
      <c r="AN31" s="162"/>
      <c r="AO31" s="162"/>
      <c r="AP31" s="166">
        <v>8215</v>
      </c>
      <c r="AQ31" s="166">
        <v>19995</v>
      </c>
      <c r="AR31" s="166">
        <f t="shared" si="0"/>
        <v>35</v>
      </c>
      <c r="AS31" s="169">
        <f t="shared" si="1"/>
        <v>280</v>
      </c>
      <c r="AT31" s="168"/>
    </row>
    <row r="32" s="116" customFormat="1" ht="71.25" spans="1:46">
      <c r="A32" s="131" t="s">
        <v>722</v>
      </c>
      <c r="B32" s="131" t="s">
        <v>734</v>
      </c>
      <c r="C32" s="131" t="s">
        <v>735</v>
      </c>
      <c r="D32" s="133" t="s">
        <v>736</v>
      </c>
      <c r="E32" s="133" t="s">
        <v>737</v>
      </c>
      <c r="F32" s="133" t="s">
        <v>793</v>
      </c>
      <c r="G32" s="133" t="s">
        <v>800</v>
      </c>
      <c r="H32" s="133" t="s">
        <v>801</v>
      </c>
      <c r="I32" s="133" t="s">
        <v>802</v>
      </c>
      <c r="J32" s="133" t="s">
        <v>803</v>
      </c>
      <c r="K32" s="133" t="s">
        <v>730</v>
      </c>
      <c r="L32" s="133" t="s">
        <v>724</v>
      </c>
      <c r="M32" s="133" t="s">
        <v>724</v>
      </c>
      <c r="N32" s="133" t="s">
        <v>735</v>
      </c>
      <c r="O32" s="133" t="s">
        <v>19</v>
      </c>
      <c r="P32" s="133" t="s">
        <v>799</v>
      </c>
      <c r="Q32" s="133" t="s">
        <v>717</v>
      </c>
      <c r="R32" s="133" t="s">
        <v>718</v>
      </c>
      <c r="S32" s="133"/>
      <c r="T32" s="133">
        <v>2</v>
      </c>
      <c r="U32" s="131"/>
      <c r="V32" s="133">
        <v>2026</v>
      </c>
      <c r="W32" s="142">
        <v>46112</v>
      </c>
      <c r="X32" s="141" t="s">
        <v>746</v>
      </c>
      <c r="Y32" s="131"/>
      <c r="Z32" s="131">
        <v>20</v>
      </c>
      <c r="AA32" s="131"/>
      <c r="AB32" s="131"/>
      <c r="AC32" s="131"/>
      <c r="AD32" s="131"/>
      <c r="AE32" s="154">
        <v>46023</v>
      </c>
      <c r="AF32" s="154">
        <v>46112</v>
      </c>
      <c r="AG32" s="131"/>
      <c r="AH32" s="131"/>
      <c r="AI32" s="131"/>
      <c r="AJ32" s="131"/>
      <c r="AK32" s="131"/>
      <c r="AL32" s="131"/>
      <c r="AM32" s="162"/>
      <c r="AN32" s="162"/>
      <c r="AO32" s="162"/>
      <c r="AP32" s="166">
        <v>8216</v>
      </c>
      <c r="AQ32" s="166">
        <v>19996</v>
      </c>
      <c r="AR32" s="166">
        <f t="shared" si="0"/>
        <v>20</v>
      </c>
      <c r="AS32" s="169">
        <f t="shared" si="1"/>
        <v>160</v>
      </c>
      <c r="AT32" s="168"/>
    </row>
    <row r="33" s="116" customFormat="1" ht="71.25" hidden="1" spans="1:46">
      <c r="A33" s="131" t="s">
        <v>722</v>
      </c>
      <c r="B33" s="131" t="s">
        <v>734</v>
      </c>
      <c r="C33" s="131" t="s">
        <v>735</v>
      </c>
      <c r="D33" s="133" t="s">
        <v>736</v>
      </c>
      <c r="E33" s="133" t="s">
        <v>748</v>
      </c>
      <c r="F33" s="133" t="s">
        <v>793</v>
      </c>
      <c r="G33" s="133" t="s">
        <v>804</v>
      </c>
      <c r="H33" s="133" t="s">
        <v>805</v>
      </c>
      <c r="I33" s="133" t="s">
        <v>806</v>
      </c>
      <c r="J33" s="133" t="s">
        <v>807</v>
      </c>
      <c r="K33" s="133" t="s">
        <v>730</v>
      </c>
      <c r="L33" s="133" t="s">
        <v>724</v>
      </c>
      <c r="M33" s="133" t="s">
        <v>724</v>
      </c>
      <c r="N33" s="133" t="s">
        <v>735</v>
      </c>
      <c r="O33" s="133" t="s">
        <v>19</v>
      </c>
      <c r="P33" s="133" t="s">
        <v>799</v>
      </c>
      <c r="Q33" s="133" t="s">
        <v>717</v>
      </c>
      <c r="R33" s="133" t="s">
        <v>717</v>
      </c>
      <c r="S33" s="133"/>
      <c r="T33" s="133">
        <v>1</v>
      </c>
      <c r="U33" s="131"/>
      <c r="V33" s="133">
        <v>2026</v>
      </c>
      <c r="W33" s="142">
        <v>46112</v>
      </c>
      <c r="X33" s="141" t="s">
        <v>756</v>
      </c>
      <c r="Y33" s="131"/>
      <c r="Z33" s="131">
        <v>11</v>
      </c>
      <c r="AA33" s="131"/>
      <c r="AB33" s="131"/>
      <c r="AC33" s="131"/>
      <c r="AD33" s="131"/>
      <c r="AE33" s="154">
        <v>46023</v>
      </c>
      <c r="AF33" s="154">
        <v>46112</v>
      </c>
      <c r="AG33" s="131"/>
      <c r="AH33" s="131"/>
      <c r="AI33" s="131"/>
      <c r="AJ33" s="131"/>
      <c r="AK33" s="131"/>
      <c r="AL33" s="131"/>
      <c r="AM33" s="162"/>
      <c r="AN33" s="162"/>
      <c r="AO33" s="162"/>
      <c r="AP33" s="166">
        <v>8287</v>
      </c>
      <c r="AQ33" s="166">
        <v>20051</v>
      </c>
      <c r="AR33" s="166">
        <f t="shared" si="0"/>
        <v>11</v>
      </c>
      <c r="AS33" s="169">
        <f t="shared" si="1"/>
        <v>88</v>
      </c>
      <c r="AT33" s="168"/>
    </row>
    <row r="34" s="116" customFormat="1" ht="99.75" hidden="1" spans="1:46">
      <c r="A34" s="131" t="s">
        <v>722</v>
      </c>
      <c r="B34" s="131" t="s">
        <v>734</v>
      </c>
      <c r="C34" s="131" t="s">
        <v>735</v>
      </c>
      <c r="D34" s="133" t="s">
        <v>736</v>
      </c>
      <c r="E34" s="133" t="s">
        <v>737</v>
      </c>
      <c r="F34" s="133" t="s">
        <v>793</v>
      </c>
      <c r="G34" s="133" t="s">
        <v>808</v>
      </c>
      <c r="H34" s="133" t="s">
        <v>808</v>
      </c>
      <c r="I34" s="133" t="s">
        <v>809</v>
      </c>
      <c r="J34" s="133" t="s">
        <v>810</v>
      </c>
      <c r="K34" s="133" t="s">
        <v>730</v>
      </c>
      <c r="L34" s="133" t="s">
        <v>724</v>
      </c>
      <c r="M34" s="133" t="s">
        <v>724</v>
      </c>
      <c r="N34" s="133" t="s">
        <v>724</v>
      </c>
      <c r="O34" s="133" t="s">
        <v>19</v>
      </c>
      <c r="P34" s="133" t="s">
        <v>811</v>
      </c>
      <c r="Q34" s="133" t="s">
        <v>717</v>
      </c>
      <c r="R34" s="133" t="s">
        <v>717</v>
      </c>
      <c r="S34" s="133"/>
      <c r="T34" s="131" t="str">
        <f>SUBSTITUTE(R34,"P","")</f>
        <v>1</v>
      </c>
      <c r="U34" s="131"/>
      <c r="V34" s="133">
        <v>2026</v>
      </c>
      <c r="W34" s="140">
        <v>46112</v>
      </c>
      <c r="X34" s="141" t="s">
        <v>746</v>
      </c>
      <c r="Y34" s="131"/>
      <c r="Z34" s="131">
        <v>6</v>
      </c>
      <c r="AA34" s="131"/>
      <c r="AB34" s="131"/>
      <c r="AC34" s="131"/>
      <c r="AD34" s="131"/>
      <c r="AE34" s="154">
        <v>46023</v>
      </c>
      <c r="AF34" s="154">
        <v>46112</v>
      </c>
      <c r="AG34" s="131"/>
      <c r="AH34" s="161"/>
      <c r="AI34" s="131"/>
      <c r="AJ34" s="131"/>
      <c r="AK34" s="131"/>
      <c r="AL34" s="131"/>
      <c r="AM34" s="162"/>
      <c r="AN34" s="162"/>
      <c r="AO34" s="162"/>
      <c r="AP34" s="166">
        <v>8218</v>
      </c>
      <c r="AQ34" s="166">
        <v>19997</v>
      </c>
      <c r="AR34" s="166">
        <f t="shared" si="0"/>
        <v>6</v>
      </c>
      <c r="AS34" s="169">
        <f t="shared" si="1"/>
        <v>48</v>
      </c>
      <c r="AT34" s="168"/>
    </row>
    <row r="35" s="116" customFormat="1" ht="285" spans="1:46">
      <c r="A35" s="131" t="s">
        <v>722</v>
      </c>
      <c r="B35" s="131" t="s">
        <v>734</v>
      </c>
      <c r="C35" s="131" t="s">
        <v>735</v>
      </c>
      <c r="D35" s="133" t="s">
        <v>736</v>
      </c>
      <c r="E35" s="133" t="s">
        <v>737</v>
      </c>
      <c r="F35" s="133" t="s">
        <v>793</v>
      </c>
      <c r="G35" s="133" t="s">
        <v>812</v>
      </c>
      <c r="H35" s="133" t="s">
        <v>813</v>
      </c>
      <c r="I35" s="133" t="s">
        <v>814</v>
      </c>
      <c r="J35" s="133" t="s">
        <v>815</v>
      </c>
      <c r="K35" s="133" t="s">
        <v>730</v>
      </c>
      <c r="L35" s="133" t="s">
        <v>724</v>
      </c>
      <c r="M35" s="133" t="s">
        <v>724</v>
      </c>
      <c r="N35" s="133" t="s">
        <v>735</v>
      </c>
      <c r="O35" s="133" t="s">
        <v>19</v>
      </c>
      <c r="P35" s="133" t="s">
        <v>811</v>
      </c>
      <c r="Q35" s="133" t="s">
        <v>717</v>
      </c>
      <c r="R35" s="133" t="s">
        <v>717</v>
      </c>
      <c r="S35" s="133"/>
      <c r="T35" s="131" t="str">
        <f>SUBSTITUTE(R35,"P","")</f>
        <v>1</v>
      </c>
      <c r="U35" s="131"/>
      <c r="V35" s="133">
        <v>2026</v>
      </c>
      <c r="W35" s="140">
        <v>46112</v>
      </c>
      <c r="X35" s="141" t="s">
        <v>746</v>
      </c>
      <c r="Y35" s="131"/>
      <c r="Z35" s="131">
        <v>44</v>
      </c>
      <c r="AA35" s="131"/>
      <c r="AB35" s="131"/>
      <c r="AC35" s="131"/>
      <c r="AD35" s="131"/>
      <c r="AE35" s="154">
        <v>46023</v>
      </c>
      <c r="AF35" s="154">
        <v>46112</v>
      </c>
      <c r="AG35" s="131"/>
      <c r="AH35" s="131"/>
      <c r="AI35" s="131"/>
      <c r="AJ35" s="131"/>
      <c r="AK35" s="131"/>
      <c r="AL35" s="131"/>
      <c r="AM35" s="162"/>
      <c r="AN35" s="162"/>
      <c r="AO35" s="162"/>
      <c r="AP35" s="166">
        <v>8219</v>
      </c>
      <c r="AQ35" s="166">
        <v>19998</v>
      </c>
      <c r="AR35" s="166">
        <f t="shared" si="0"/>
        <v>44</v>
      </c>
      <c r="AS35" s="169">
        <f t="shared" si="1"/>
        <v>352</v>
      </c>
      <c r="AT35" s="168"/>
    </row>
    <row r="36" s="116" customFormat="1" ht="99.75" hidden="1" spans="1:46">
      <c r="A36" s="131" t="s">
        <v>722</v>
      </c>
      <c r="B36" s="131" t="s">
        <v>734</v>
      </c>
      <c r="C36" s="131" t="s">
        <v>735</v>
      </c>
      <c r="D36" s="133" t="s">
        <v>747</v>
      </c>
      <c r="E36" s="133" t="s">
        <v>748</v>
      </c>
      <c r="F36" s="133" t="s">
        <v>793</v>
      </c>
      <c r="G36" s="133" t="s">
        <v>816</v>
      </c>
      <c r="H36" s="133" t="s">
        <v>817</v>
      </c>
      <c r="I36" s="133" t="s">
        <v>818</v>
      </c>
      <c r="J36" s="133" t="s">
        <v>819</v>
      </c>
      <c r="K36" s="133" t="s">
        <v>730</v>
      </c>
      <c r="L36" s="133" t="s">
        <v>724</v>
      </c>
      <c r="M36" s="133" t="s">
        <v>724</v>
      </c>
      <c r="N36" s="133" t="s">
        <v>735</v>
      </c>
      <c r="O36" s="133" t="s">
        <v>19</v>
      </c>
      <c r="P36" s="133" t="s">
        <v>811</v>
      </c>
      <c r="Q36" s="133" t="s">
        <v>717</v>
      </c>
      <c r="R36" s="133" t="s">
        <v>717</v>
      </c>
      <c r="S36" s="133"/>
      <c r="T36" s="131" t="str">
        <f>SUBSTITUTE(R36,"P","")</f>
        <v>1</v>
      </c>
      <c r="U36" s="131"/>
      <c r="V36" s="133">
        <v>2026</v>
      </c>
      <c r="W36" s="140">
        <v>46112</v>
      </c>
      <c r="X36" s="141" t="s">
        <v>756</v>
      </c>
      <c r="Y36" s="131"/>
      <c r="Z36" s="131">
        <v>5</v>
      </c>
      <c r="AA36" s="131"/>
      <c r="AB36" s="131"/>
      <c r="AC36" s="131"/>
      <c r="AD36" s="131"/>
      <c r="AE36" s="154">
        <v>46023</v>
      </c>
      <c r="AF36" s="154">
        <v>46112</v>
      </c>
      <c r="AG36" s="131"/>
      <c r="AH36" s="161"/>
      <c r="AI36" s="131"/>
      <c r="AJ36" s="131"/>
      <c r="AK36" s="131"/>
      <c r="AL36" s="131"/>
      <c r="AM36" s="162"/>
      <c r="AN36" s="162"/>
      <c r="AO36" s="162"/>
      <c r="AP36" s="166">
        <v>8263</v>
      </c>
      <c r="AQ36" s="166">
        <v>20045</v>
      </c>
      <c r="AR36" s="166">
        <f t="shared" si="0"/>
        <v>5</v>
      </c>
      <c r="AS36" s="169">
        <f t="shared" si="1"/>
        <v>40</v>
      </c>
      <c r="AT36" s="168"/>
    </row>
    <row r="37" s="116" customFormat="1" ht="99.75" hidden="1" spans="1:46">
      <c r="A37" s="131" t="s">
        <v>722</v>
      </c>
      <c r="B37" s="131" t="s">
        <v>734</v>
      </c>
      <c r="C37" s="131" t="s">
        <v>735</v>
      </c>
      <c r="D37" s="133" t="s">
        <v>736</v>
      </c>
      <c r="E37" s="133" t="s">
        <v>737</v>
      </c>
      <c r="F37" s="133" t="s">
        <v>793</v>
      </c>
      <c r="G37" s="133" t="s">
        <v>820</v>
      </c>
      <c r="H37" s="133" t="s">
        <v>821</v>
      </c>
      <c r="I37" s="133" t="s">
        <v>822</v>
      </c>
      <c r="J37" s="133" t="s">
        <v>823</v>
      </c>
      <c r="K37" s="133" t="s">
        <v>730</v>
      </c>
      <c r="L37" s="133" t="s">
        <v>724</v>
      </c>
      <c r="M37" s="133" t="s">
        <v>724</v>
      </c>
      <c r="N37" s="133" t="s">
        <v>724</v>
      </c>
      <c r="O37" s="133" t="s">
        <v>19</v>
      </c>
      <c r="P37" s="133" t="s">
        <v>824</v>
      </c>
      <c r="Q37" s="133" t="s">
        <v>755</v>
      </c>
      <c r="R37" s="133" t="s">
        <v>717</v>
      </c>
      <c r="S37" s="133"/>
      <c r="T37" s="133">
        <v>1</v>
      </c>
      <c r="U37" s="131"/>
      <c r="V37" s="133">
        <v>2026</v>
      </c>
      <c r="W37" s="142">
        <v>46112</v>
      </c>
      <c r="X37" s="141" t="s">
        <v>746</v>
      </c>
      <c r="Y37" s="131">
        <v>20</v>
      </c>
      <c r="Z37" s="131"/>
      <c r="AA37" s="131"/>
      <c r="AB37" s="131"/>
      <c r="AC37" s="131"/>
      <c r="AD37" s="131"/>
      <c r="AE37" s="154">
        <v>46023</v>
      </c>
      <c r="AF37" s="154">
        <v>46112</v>
      </c>
      <c r="AG37" s="131"/>
      <c r="AH37" s="161"/>
      <c r="AI37" s="131"/>
      <c r="AJ37" s="131"/>
      <c r="AK37" s="131"/>
      <c r="AL37" s="131"/>
      <c r="AM37" s="162"/>
      <c r="AN37" s="162"/>
      <c r="AO37" s="162"/>
      <c r="AP37" s="166">
        <v>8220</v>
      </c>
      <c r="AQ37" s="166">
        <v>19999</v>
      </c>
      <c r="AR37" s="166">
        <f t="shared" si="0"/>
        <v>20</v>
      </c>
      <c r="AS37" s="169">
        <f t="shared" si="1"/>
        <v>160</v>
      </c>
      <c r="AT37" s="168"/>
    </row>
    <row r="38" s="116" customFormat="1" ht="71.25" hidden="1" spans="1:46">
      <c r="A38" s="131" t="s">
        <v>825</v>
      </c>
      <c r="B38" s="131" t="s">
        <v>734</v>
      </c>
      <c r="C38" s="131" t="s">
        <v>724</v>
      </c>
      <c r="D38" s="133" t="s">
        <v>826</v>
      </c>
      <c r="E38" s="133" t="s">
        <v>827</v>
      </c>
      <c r="F38" s="133" t="s">
        <v>828</v>
      </c>
      <c r="G38" s="133" t="s">
        <v>829</v>
      </c>
      <c r="H38" s="133" t="s">
        <v>829</v>
      </c>
      <c r="I38" s="133" t="s">
        <v>830</v>
      </c>
      <c r="J38" s="133" t="s">
        <v>831</v>
      </c>
      <c r="K38" s="133" t="s">
        <v>730</v>
      </c>
      <c r="L38" s="133" t="s">
        <v>724</v>
      </c>
      <c r="M38" s="133" t="s">
        <v>724</v>
      </c>
      <c r="N38" s="133" t="s">
        <v>724</v>
      </c>
      <c r="O38" s="133" t="s">
        <v>19</v>
      </c>
      <c r="P38" s="133" t="s">
        <v>824</v>
      </c>
      <c r="Q38" s="133" t="s">
        <v>755</v>
      </c>
      <c r="R38" s="133" t="s">
        <v>717</v>
      </c>
      <c r="S38" s="133"/>
      <c r="T38" s="133">
        <v>1</v>
      </c>
      <c r="U38" s="131"/>
      <c r="V38" s="133">
        <v>2026</v>
      </c>
      <c r="W38" s="142">
        <v>46112</v>
      </c>
      <c r="X38" s="141" t="s">
        <v>832</v>
      </c>
      <c r="Y38" s="131">
        <v>30</v>
      </c>
      <c r="Z38" s="131"/>
      <c r="AA38" s="131"/>
      <c r="AB38" s="131"/>
      <c r="AC38" s="131"/>
      <c r="AD38" s="131"/>
      <c r="AE38" s="154">
        <v>46023</v>
      </c>
      <c r="AF38" s="154">
        <v>46112</v>
      </c>
      <c r="AG38" s="131"/>
      <c r="AH38" s="131"/>
      <c r="AI38" s="131"/>
      <c r="AJ38" s="131"/>
      <c r="AK38" s="131"/>
      <c r="AL38" s="131"/>
      <c r="AM38" s="162"/>
      <c r="AN38" s="162"/>
      <c r="AO38" s="162"/>
      <c r="AP38" s="166">
        <v>8211</v>
      </c>
      <c r="AQ38" s="166">
        <v>20021</v>
      </c>
      <c r="AR38" s="166">
        <f t="shared" si="0"/>
        <v>30</v>
      </c>
      <c r="AS38" s="169">
        <f t="shared" si="1"/>
        <v>240</v>
      </c>
      <c r="AT38" s="168"/>
    </row>
    <row r="39" s="116" customFormat="1" ht="99.75" hidden="1" spans="1:46">
      <c r="A39" s="131" t="s">
        <v>722</v>
      </c>
      <c r="B39" s="131" t="s">
        <v>734</v>
      </c>
      <c r="C39" s="131" t="s">
        <v>735</v>
      </c>
      <c r="D39" s="133" t="s">
        <v>736</v>
      </c>
      <c r="E39" s="133" t="s">
        <v>748</v>
      </c>
      <c r="F39" s="133" t="s">
        <v>793</v>
      </c>
      <c r="G39" s="133" t="s">
        <v>833</v>
      </c>
      <c r="H39" s="133" t="s">
        <v>834</v>
      </c>
      <c r="I39" s="133" t="s">
        <v>835</v>
      </c>
      <c r="J39" s="133" t="s">
        <v>836</v>
      </c>
      <c r="K39" s="133" t="s">
        <v>730</v>
      </c>
      <c r="L39" s="133" t="s">
        <v>724</v>
      </c>
      <c r="M39" s="133" t="s">
        <v>724</v>
      </c>
      <c r="N39" s="133" t="s">
        <v>735</v>
      </c>
      <c r="O39" s="133" t="s">
        <v>19</v>
      </c>
      <c r="P39" s="133" t="s">
        <v>824</v>
      </c>
      <c r="Q39" s="133" t="s">
        <v>755</v>
      </c>
      <c r="R39" s="133" t="s">
        <v>717</v>
      </c>
      <c r="S39" s="133"/>
      <c r="T39" s="133">
        <v>1</v>
      </c>
      <c r="U39" s="131"/>
      <c r="V39" s="133">
        <v>2026</v>
      </c>
      <c r="W39" s="142">
        <v>46112</v>
      </c>
      <c r="X39" s="141" t="s">
        <v>756</v>
      </c>
      <c r="Y39" s="131">
        <v>2</v>
      </c>
      <c r="Z39" s="131"/>
      <c r="AA39" s="131"/>
      <c r="AB39" s="131"/>
      <c r="AC39" s="131"/>
      <c r="AD39" s="131"/>
      <c r="AE39" s="154">
        <v>46023</v>
      </c>
      <c r="AF39" s="154">
        <v>46112</v>
      </c>
      <c r="AG39" s="131"/>
      <c r="AH39" s="131"/>
      <c r="AI39" s="131"/>
      <c r="AJ39" s="131"/>
      <c r="AK39" s="131"/>
      <c r="AL39" s="131"/>
      <c r="AM39" s="162"/>
      <c r="AN39" s="162"/>
      <c r="AO39" s="162"/>
      <c r="AP39" s="166">
        <v>8264</v>
      </c>
      <c r="AQ39" s="166">
        <v>20046</v>
      </c>
      <c r="AR39" s="166">
        <f t="shared" si="0"/>
        <v>2</v>
      </c>
      <c r="AS39" s="169">
        <f t="shared" si="1"/>
        <v>16</v>
      </c>
      <c r="AT39" s="168"/>
    </row>
    <row r="40" s="116" customFormat="1" ht="71.25" hidden="1" spans="1:46">
      <c r="A40" s="131" t="s">
        <v>722</v>
      </c>
      <c r="B40" s="131" t="s">
        <v>734</v>
      </c>
      <c r="C40" s="131" t="s">
        <v>735</v>
      </c>
      <c r="D40" s="133" t="s">
        <v>736</v>
      </c>
      <c r="E40" s="133" t="s">
        <v>748</v>
      </c>
      <c r="F40" s="133" t="s">
        <v>793</v>
      </c>
      <c r="G40" s="133" t="s">
        <v>837</v>
      </c>
      <c r="H40" s="133" t="s">
        <v>838</v>
      </c>
      <c r="I40" s="133" t="s">
        <v>839</v>
      </c>
      <c r="J40" s="133" t="s">
        <v>840</v>
      </c>
      <c r="K40" s="133" t="s">
        <v>730</v>
      </c>
      <c r="L40" s="133" t="s">
        <v>724</v>
      </c>
      <c r="M40" s="133" t="s">
        <v>724</v>
      </c>
      <c r="N40" s="133" t="s">
        <v>735</v>
      </c>
      <c r="O40" s="133" t="s">
        <v>19</v>
      </c>
      <c r="P40" s="133" t="s">
        <v>824</v>
      </c>
      <c r="Q40" s="133" t="s">
        <v>755</v>
      </c>
      <c r="R40" s="133" t="s">
        <v>717</v>
      </c>
      <c r="S40" s="133"/>
      <c r="T40" s="133">
        <v>1</v>
      </c>
      <c r="U40" s="131"/>
      <c r="V40" s="133">
        <v>2026</v>
      </c>
      <c r="W40" s="142">
        <v>46112</v>
      </c>
      <c r="X40" s="141" t="s">
        <v>756</v>
      </c>
      <c r="Y40" s="131">
        <v>2</v>
      </c>
      <c r="Z40" s="131"/>
      <c r="AA40" s="131"/>
      <c r="AB40" s="131"/>
      <c r="AC40" s="131"/>
      <c r="AD40" s="131"/>
      <c r="AE40" s="154">
        <v>46023</v>
      </c>
      <c r="AF40" s="154">
        <v>46112</v>
      </c>
      <c r="AG40" s="131"/>
      <c r="AH40" s="131"/>
      <c r="AI40" s="131"/>
      <c r="AJ40" s="131"/>
      <c r="AK40" s="131"/>
      <c r="AL40" s="131"/>
      <c r="AM40" s="162"/>
      <c r="AN40" s="162"/>
      <c r="AO40" s="162"/>
      <c r="AP40" s="166">
        <v>8266</v>
      </c>
      <c r="AQ40" s="166">
        <v>20048</v>
      </c>
      <c r="AR40" s="166">
        <f t="shared" si="0"/>
        <v>2</v>
      </c>
      <c r="AS40" s="169">
        <f t="shared" si="1"/>
        <v>16</v>
      </c>
      <c r="AT40" s="168"/>
    </row>
    <row r="41" s="116" customFormat="1" ht="142.5" spans="1:46">
      <c r="A41" s="131" t="s">
        <v>722</v>
      </c>
      <c r="B41" s="131" t="s">
        <v>734</v>
      </c>
      <c r="C41" s="131" t="s">
        <v>735</v>
      </c>
      <c r="D41" s="133" t="s">
        <v>736</v>
      </c>
      <c r="E41" s="133" t="s">
        <v>737</v>
      </c>
      <c r="F41" s="133" t="s">
        <v>793</v>
      </c>
      <c r="G41" s="133" t="s">
        <v>841</v>
      </c>
      <c r="H41" s="133" t="s">
        <v>842</v>
      </c>
      <c r="I41" s="133" t="s">
        <v>843</v>
      </c>
      <c r="J41" s="133" t="s">
        <v>844</v>
      </c>
      <c r="K41" s="133" t="s">
        <v>730</v>
      </c>
      <c r="L41" s="133" t="s">
        <v>724</v>
      </c>
      <c r="M41" s="133" t="s">
        <v>724</v>
      </c>
      <c r="N41" s="133" t="s">
        <v>735</v>
      </c>
      <c r="O41" s="133" t="s">
        <v>19</v>
      </c>
      <c r="P41" s="133" t="s">
        <v>824</v>
      </c>
      <c r="Q41" s="133" t="s">
        <v>755</v>
      </c>
      <c r="R41" s="133" t="s">
        <v>717</v>
      </c>
      <c r="S41" s="143"/>
      <c r="T41" s="133">
        <v>1</v>
      </c>
      <c r="U41" s="131"/>
      <c r="V41" s="133">
        <v>2026</v>
      </c>
      <c r="W41" s="142">
        <v>46112</v>
      </c>
      <c r="X41" s="141" t="s">
        <v>746</v>
      </c>
      <c r="Y41" s="131">
        <v>20</v>
      </c>
      <c r="Z41" s="131"/>
      <c r="AA41" s="131"/>
      <c r="AB41" s="131"/>
      <c r="AC41" s="131"/>
      <c r="AD41" s="131"/>
      <c r="AE41" s="154">
        <v>46023</v>
      </c>
      <c r="AF41" s="154">
        <v>46112</v>
      </c>
      <c r="AG41" s="131"/>
      <c r="AH41" s="131"/>
      <c r="AI41" s="131"/>
      <c r="AJ41" s="131"/>
      <c r="AK41" s="131"/>
      <c r="AL41" s="131"/>
      <c r="AM41" s="162"/>
      <c r="AN41" s="162"/>
      <c r="AO41" s="162"/>
      <c r="AP41" s="166">
        <v>8221</v>
      </c>
      <c r="AQ41" s="166">
        <v>20000</v>
      </c>
      <c r="AR41" s="166">
        <f t="shared" si="0"/>
        <v>20</v>
      </c>
      <c r="AS41" s="169">
        <f t="shared" si="1"/>
        <v>160</v>
      </c>
      <c r="AT41" s="168" t="s">
        <v>845</v>
      </c>
    </row>
    <row r="42" s="116" customFormat="1" ht="57" hidden="1" spans="1:46">
      <c r="A42" s="131" t="s">
        <v>825</v>
      </c>
      <c r="B42" s="131" t="s">
        <v>734</v>
      </c>
      <c r="C42" s="131" t="s">
        <v>735</v>
      </c>
      <c r="D42" s="133" t="s">
        <v>846</v>
      </c>
      <c r="E42" s="133" t="s">
        <v>847</v>
      </c>
      <c r="F42" s="133" t="s">
        <v>793</v>
      </c>
      <c r="G42" s="133" t="s">
        <v>848</v>
      </c>
      <c r="H42" s="133" t="s">
        <v>849</v>
      </c>
      <c r="I42" s="133" t="s">
        <v>850</v>
      </c>
      <c r="J42" s="133" t="s">
        <v>831</v>
      </c>
      <c r="K42" s="133" t="s">
        <v>730</v>
      </c>
      <c r="L42" s="133" t="s">
        <v>724</v>
      </c>
      <c r="M42" s="133" t="s">
        <v>724</v>
      </c>
      <c r="N42" s="133" t="s">
        <v>724</v>
      </c>
      <c r="O42" s="133" t="s">
        <v>19</v>
      </c>
      <c r="P42" s="133" t="s">
        <v>851</v>
      </c>
      <c r="Q42" s="133" t="s">
        <v>718</v>
      </c>
      <c r="R42" s="133" t="s">
        <v>718</v>
      </c>
      <c r="S42" s="133"/>
      <c r="T42" s="133">
        <v>2</v>
      </c>
      <c r="U42" s="131"/>
      <c r="V42" s="133">
        <v>2026</v>
      </c>
      <c r="W42" s="140">
        <v>46112</v>
      </c>
      <c r="X42" s="141" t="s">
        <v>852</v>
      </c>
      <c r="Y42" s="131"/>
      <c r="Z42" s="131"/>
      <c r="AA42" s="131">
        <v>7</v>
      </c>
      <c r="AB42" s="131"/>
      <c r="AC42" s="131"/>
      <c r="AD42" s="131"/>
      <c r="AE42" s="154">
        <v>46023</v>
      </c>
      <c r="AF42" s="154">
        <v>46112</v>
      </c>
      <c r="AG42" s="131"/>
      <c r="AH42" s="131"/>
      <c r="AI42" s="131"/>
      <c r="AJ42" s="131"/>
      <c r="AK42" s="131"/>
      <c r="AL42" s="131"/>
      <c r="AM42" s="162"/>
      <c r="AN42" s="162"/>
      <c r="AO42" s="162"/>
      <c r="AP42" s="169">
        <v>8271</v>
      </c>
      <c r="AQ42" s="166">
        <v>19951</v>
      </c>
      <c r="AR42" s="166">
        <f t="shared" si="0"/>
        <v>7</v>
      </c>
      <c r="AS42" s="169">
        <f t="shared" si="1"/>
        <v>56</v>
      </c>
      <c r="AT42" s="168"/>
    </row>
    <row r="43" s="116" customFormat="1" ht="85.5" hidden="1" spans="1:46">
      <c r="A43" s="131" t="s">
        <v>722</v>
      </c>
      <c r="B43" s="131" t="s">
        <v>734</v>
      </c>
      <c r="C43" s="131" t="s">
        <v>735</v>
      </c>
      <c r="D43" s="133" t="s">
        <v>747</v>
      </c>
      <c r="E43" s="133" t="s">
        <v>847</v>
      </c>
      <c r="F43" s="133" t="s">
        <v>793</v>
      </c>
      <c r="G43" s="133" t="s">
        <v>853</v>
      </c>
      <c r="H43" s="133" t="s">
        <v>854</v>
      </c>
      <c r="I43" s="133" t="s">
        <v>855</v>
      </c>
      <c r="J43" s="133" t="s">
        <v>856</v>
      </c>
      <c r="K43" s="133" t="s">
        <v>730</v>
      </c>
      <c r="L43" s="133" t="s">
        <v>724</v>
      </c>
      <c r="M43" s="133" t="s">
        <v>724</v>
      </c>
      <c r="N43" s="133" t="s">
        <v>724</v>
      </c>
      <c r="O43" s="133" t="s">
        <v>19</v>
      </c>
      <c r="P43" s="133" t="s">
        <v>851</v>
      </c>
      <c r="Q43" s="133" t="s">
        <v>718</v>
      </c>
      <c r="R43" s="133" t="s">
        <v>718</v>
      </c>
      <c r="S43" s="133"/>
      <c r="T43" s="133">
        <v>2</v>
      </c>
      <c r="U43" s="131"/>
      <c r="V43" s="133">
        <v>2026</v>
      </c>
      <c r="W43" s="140">
        <v>46112</v>
      </c>
      <c r="X43" s="141" t="s">
        <v>852</v>
      </c>
      <c r="Y43" s="131"/>
      <c r="Z43" s="131"/>
      <c r="AA43" s="131">
        <v>30</v>
      </c>
      <c r="AB43" s="131"/>
      <c r="AC43" s="131"/>
      <c r="AD43" s="131"/>
      <c r="AE43" s="154">
        <v>46023</v>
      </c>
      <c r="AF43" s="154">
        <v>46112</v>
      </c>
      <c r="AG43" s="131"/>
      <c r="AH43" s="131"/>
      <c r="AI43" s="131"/>
      <c r="AJ43" s="131"/>
      <c r="AK43" s="131"/>
      <c r="AL43" s="131"/>
      <c r="AM43" s="162"/>
      <c r="AN43" s="162"/>
      <c r="AO43" s="162"/>
      <c r="AP43" s="169">
        <v>8272</v>
      </c>
      <c r="AQ43" s="166">
        <v>19952</v>
      </c>
      <c r="AR43" s="166">
        <f t="shared" si="0"/>
        <v>30</v>
      </c>
      <c r="AS43" s="169">
        <f t="shared" si="1"/>
        <v>240</v>
      </c>
      <c r="AT43" s="168"/>
    </row>
    <row r="44" s="116" customFormat="1" ht="99.75" hidden="1" spans="1:46">
      <c r="A44" s="131" t="s">
        <v>722</v>
      </c>
      <c r="B44" s="131" t="s">
        <v>734</v>
      </c>
      <c r="C44" s="131" t="s">
        <v>735</v>
      </c>
      <c r="D44" s="133" t="s">
        <v>747</v>
      </c>
      <c r="E44" s="133" t="s">
        <v>847</v>
      </c>
      <c r="F44" s="133" t="s">
        <v>793</v>
      </c>
      <c r="G44" s="133" t="s">
        <v>857</v>
      </c>
      <c r="H44" s="133" t="s">
        <v>858</v>
      </c>
      <c r="I44" s="133" t="s">
        <v>859</v>
      </c>
      <c r="J44" s="133" t="s">
        <v>860</v>
      </c>
      <c r="K44" s="133" t="s">
        <v>730</v>
      </c>
      <c r="L44" s="133" t="s">
        <v>724</v>
      </c>
      <c r="M44" s="133" t="s">
        <v>724</v>
      </c>
      <c r="N44" s="133" t="s">
        <v>724</v>
      </c>
      <c r="O44" s="133" t="s">
        <v>19</v>
      </c>
      <c r="P44" s="133" t="s">
        <v>851</v>
      </c>
      <c r="Q44" s="133" t="s">
        <v>718</v>
      </c>
      <c r="R44" s="133" t="s">
        <v>717</v>
      </c>
      <c r="S44" s="133"/>
      <c r="T44" s="133">
        <v>1</v>
      </c>
      <c r="U44" s="131"/>
      <c r="V44" s="133">
        <v>2026</v>
      </c>
      <c r="W44" s="140">
        <v>46112</v>
      </c>
      <c r="X44" s="141" t="s">
        <v>852</v>
      </c>
      <c r="Y44" s="131"/>
      <c r="Z44" s="131"/>
      <c r="AA44" s="131">
        <v>7</v>
      </c>
      <c r="AB44" s="131"/>
      <c r="AC44" s="131"/>
      <c r="AD44" s="131"/>
      <c r="AE44" s="154">
        <v>46023</v>
      </c>
      <c r="AF44" s="154">
        <v>46112</v>
      </c>
      <c r="AG44" s="131"/>
      <c r="AH44" s="131"/>
      <c r="AI44" s="131"/>
      <c r="AJ44" s="131"/>
      <c r="AK44" s="131"/>
      <c r="AL44" s="131"/>
      <c r="AM44" s="162"/>
      <c r="AN44" s="162"/>
      <c r="AO44" s="162"/>
      <c r="AP44" s="169">
        <v>8273</v>
      </c>
      <c r="AQ44" s="166">
        <v>19953</v>
      </c>
      <c r="AR44" s="166">
        <f t="shared" si="0"/>
        <v>7</v>
      </c>
      <c r="AS44" s="169">
        <f t="shared" si="1"/>
        <v>56</v>
      </c>
      <c r="AT44" s="168"/>
    </row>
    <row r="45" s="116" customFormat="1" ht="85.5" hidden="1" spans="1:46">
      <c r="A45" s="131" t="s">
        <v>722</v>
      </c>
      <c r="B45" s="131" t="s">
        <v>734</v>
      </c>
      <c r="C45" s="131" t="s">
        <v>735</v>
      </c>
      <c r="D45" s="133" t="s">
        <v>747</v>
      </c>
      <c r="E45" s="133" t="s">
        <v>748</v>
      </c>
      <c r="F45" s="133" t="s">
        <v>793</v>
      </c>
      <c r="G45" s="133" t="s">
        <v>861</v>
      </c>
      <c r="H45" s="133" t="s">
        <v>862</v>
      </c>
      <c r="I45" s="133" t="s">
        <v>863</v>
      </c>
      <c r="J45" s="133" t="s">
        <v>864</v>
      </c>
      <c r="K45" s="133" t="s">
        <v>730</v>
      </c>
      <c r="L45" s="133" t="s">
        <v>724</v>
      </c>
      <c r="M45" s="133" t="s">
        <v>724</v>
      </c>
      <c r="N45" s="133" t="s">
        <v>724</v>
      </c>
      <c r="O45" s="133" t="s">
        <v>19</v>
      </c>
      <c r="P45" s="133" t="s">
        <v>851</v>
      </c>
      <c r="Q45" s="133" t="s">
        <v>718</v>
      </c>
      <c r="R45" s="133" t="s">
        <v>718</v>
      </c>
      <c r="S45" s="133"/>
      <c r="T45" s="133">
        <v>2</v>
      </c>
      <c r="U45" s="131"/>
      <c r="V45" s="133">
        <v>2026</v>
      </c>
      <c r="W45" s="140">
        <v>46112</v>
      </c>
      <c r="X45" s="141" t="s">
        <v>756</v>
      </c>
      <c r="Y45" s="131"/>
      <c r="Z45" s="131"/>
      <c r="AA45" s="131">
        <v>15</v>
      </c>
      <c r="AB45" s="131"/>
      <c r="AC45" s="131"/>
      <c r="AD45" s="131"/>
      <c r="AE45" s="154">
        <v>46023</v>
      </c>
      <c r="AF45" s="154">
        <v>46112</v>
      </c>
      <c r="AG45" s="131"/>
      <c r="AH45" s="131"/>
      <c r="AI45" s="131"/>
      <c r="AJ45" s="131"/>
      <c r="AK45" s="131"/>
      <c r="AL45" s="131"/>
      <c r="AM45" s="162"/>
      <c r="AN45" s="162"/>
      <c r="AO45" s="162"/>
      <c r="AP45" s="166">
        <v>8267</v>
      </c>
      <c r="AQ45" s="166">
        <v>20049</v>
      </c>
      <c r="AR45" s="166">
        <f t="shared" si="0"/>
        <v>15</v>
      </c>
      <c r="AS45" s="169">
        <f t="shared" si="1"/>
        <v>120</v>
      </c>
      <c r="AT45" s="168"/>
    </row>
    <row r="46" s="116" customFormat="1" ht="85.5" hidden="1" spans="1:46">
      <c r="A46" s="131" t="s">
        <v>722</v>
      </c>
      <c r="B46" s="131" t="s">
        <v>734</v>
      </c>
      <c r="C46" s="131" t="s">
        <v>735</v>
      </c>
      <c r="D46" s="133" t="s">
        <v>747</v>
      </c>
      <c r="E46" s="133" t="s">
        <v>847</v>
      </c>
      <c r="F46" s="133" t="s">
        <v>793</v>
      </c>
      <c r="G46" s="133" t="s">
        <v>865</v>
      </c>
      <c r="H46" s="133" t="s">
        <v>866</v>
      </c>
      <c r="I46" s="133" t="s">
        <v>867</v>
      </c>
      <c r="J46" s="133" t="s">
        <v>868</v>
      </c>
      <c r="K46" s="133" t="s">
        <v>730</v>
      </c>
      <c r="L46" s="133" t="s">
        <v>724</v>
      </c>
      <c r="M46" s="133" t="s">
        <v>724</v>
      </c>
      <c r="N46" s="133" t="s">
        <v>724</v>
      </c>
      <c r="O46" s="133" t="s">
        <v>19</v>
      </c>
      <c r="P46" s="133" t="s">
        <v>851</v>
      </c>
      <c r="Q46" s="133" t="s">
        <v>718</v>
      </c>
      <c r="R46" s="133" t="s">
        <v>718</v>
      </c>
      <c r="S46" s="133"/>
      <c r="T46" s="133">
        <v>2</v>
      </c>
      <c r="U46" s="131"/>
      <c r="V46" s="133">
        <v>2026</v>
      </c>
      <c r="W46" s="140">
        <v>46112</v>
      </c>
      <c r="X46" s="141" t="s">
        <v>852</v>
      </c>
      <c r="Y46" s="131"/>
      <c r="Z46" s="131"/>
      <c r="AA46" s="131">
        <v>7</v>
      </c>
      <c r="AB46" s="131"/>
      <c r="AC46" s="131"/>
      <c r="AD46" s="131"/>
      <c r="AE46" s="154">
        <v>46023</v>
      </c>
      <c r="AF46" s="154">
        <v>46112</v>
      </c>
      <c r="AG46" s="131"/>
      <c r="AH46" s="131"/>
      <c r="AI46" s="131"/>
      <c r="AJ46" s="131"/>
      <c r="AK46" s="131"/>
      <c r="AL46" s="131"/>
      <c r="AM46" s="162"/>
      <c r="AN46" s="162"/>
      <c r="AO46" s="162"/>
      <c r="AP46" s="169">
        <v>8274</v>
      </c>
      <c r="AQ46" s="166">
        <v>19954</v>
      </c>
      <c r="AR46" s="166">
        <f t="shared" si="0"/>
        <v>7</v>
      </c>
      <c r="AS46" s="169">
        <f t="shared" si="1"/>
        <v>56</v>
      </c>
      <c r="AT46" s="168"/>
    </row>
    <row r="47" s="116" customFormat="1" ht="114" spans="1:46">
      <c r="A47" s="95" t="s">
        <v>722</v>
      </c>
      <c r="B47" s="95" t="s">
        <v>723</v>
      </c>
      <c r="C47" s="95" t="s">
        <v>735</v>
      </c>
      <c r="D47" s="133" t="s">
        <v>736</v>
      </c>
      <c r="E47" s="133" t="s">
        <v>737</v>
      </c>
      <c r="F47" s="133" t="s">
        <v>869</v>
      </c>
      <c r="G47" s="133"/>
      <c r="H47" s="133" t="s">
        <v>870</v>
      </c>
      <c r="I47" s="133" t="s">
        <v>871</v>
      </c>
      <c r="J47" s="133" t="s">
        <v>872</v>
      </c>
      <c r="K47" s="133" t="s">
        <v>730</v>
      </c>
      <c r="L47" s="133" t="s">
        <v>724</v>
      </c>
      <c r="M47" s="133" t="s">
        <v>724</v>
      </c>
      <c r="N47" s="133" t="s">
        <v>735</v>
      </c>
      <c r="O47" s="133" t="s">
        <v>19</v>
      </c>
      <c r="P47" s="133" t="s">
        <v>873</v>
      </c>
      <c r="Q47" s="132" t="s">
        <v>874</v>
      </c>
      <c r="R47" s="132" t="s">
        <v>875</v>
      </c>
      <c r="S47" s="132">
        <v>2</v>
      </c>
      <c r="T47" s="132">
        <v>2</v>
      </c>
      <c r="U47" s="95">
        <v>1</v>
      </c>
      <c r="V47" s="132">
        <v>2026</v>
      </c>
      <c r="W47" s="144">
        <v>46112</v>
      </c>
      <c r="X47" s="141" t="s">
        <v>746</v>
      </c>
      <c r="Y47" s="95"/>
      <c r="Z47" s="95">
        <v>36</v>
      </c>
      <c r="AA47" s="95"/>
      <c r="AB47" s="95"/>
      <c r="AC47" s="95"/>
      <c r="AD47" s="95"/>
      <c r="AE47" s="156">
        <v>46023</v>
      </c>
      <c r="AF47" s="156">
        <v>46112</v>
      </c>
      <c r="AG47" s="95"/>
      <c r="AH47" s="95"/>
      <c r="AI47" s="95"/>
      <c r="AJ47" s="95"/>
      <c r="AK47" s="95"/>
      <c r="AL47" s="95"/>
      <c r="AM47" s="162"/>
      <c r="AN47" s="162"/>
      <c r="AO47" s="162"/>
      <c r="AP47" s="166">
        <v>8223</v>
      </c>
      <c r="AQ47" s="166">
        <v>20004</v>
      </c>
      <c r="AR47" s="166">
        <f t="shared" si="0"/>
        <v>36</v>
      </c>
      <c r="AS47" s="169">
        <f t="shared" si="1"/>
        <v>288</v>
      </c>
      <c r="AT47" s="168"/>
    </row>
    <row r="48" s="116" customFormat="1" ht="57" spans="1:46">
      <c r="A48" s="95" t="s">
        <v>722</v>
      </c>
      <c r="B48" s="95" t="s">
        <v>723</v>
      </c>
      <c r="C48" s="95" t="s">
        <v>735</v>
      </c>
      <c r="D48" s="133" t="s">
        <v>736</v>
      </c>
      <c r="E48" s="133" t="s">
        <v>737</v>
      </c>
      <c r="F48" s="133" t="s">
        <v>869</v>
      </c>
      <c r="G48" s="133"/>
      <c r="H48" s="133" t="s">
        <v>876</v>
      </c>
      <c r="I48" s="133" t="s">
        <v>877</v>
      </c>
      <c r="J48" s="133" t="s">
        <v>878</v>
      </c>
      <c r="K48" s="133" t="s">
        <v>879</v>
      </c>
      <c r="L48" s="133" t="s">
        <v>724</v>
      </c>
      <c r="M48" s="133" t="s">
        <v>724</v>
      </c>
      <c r="N48" s="133" t="s">
        <v>735</v>
      </c>
      <c r="O48" s="133" t="s">
        <v>19</v>
      </c>
      <c r="P48" s="133" t="s">
        <v>873</v>
      </c>
      <c r="Q48" s="132" t="s">
        <v>874</v>
      </c>
      <c r="R48" s="132" t="s">
        <v>875</v>
      </c>
      <c r="S48" s="132">
        <v>2</v>
      </c>
      <c r="T48" s="132">
        <v>2</v>
      </c>
      <c r="U48" s="95">
        <v>1</v>
      </c>
      <c r="V48" s="132">
        <v>2026</v>
      </c>
      <c r="W48" s="144">
        <v>46112</v>
      </c>
      <c r="X48" s="141" t="s">
        <v>746</v>
      </c>
      <c r="Y48" s="95"/>
      <c r="Z48" s="95">
        <v>12</v>
      </c>
      <c r="AA48" s="95"/>
      <c r="AB48" s="95"/>
      <c r="AC48" s="95"/>
      <c r="AD48" s="95"/>
      <c r="AE48" s="156">
        <v>46023</v>
      </c>
      <c r="AF48" s="156">
        <v>46112</v>
      </c>
      <c r="AG48" s="95"/>
      <c r="AH48" s="95"/>
      <c r="AI48" s="95"/>
      <c r="AJ48" s="95"/>
      <c r="AK48" s="95"/>
      <c r="AL48" s="95"/>
      <c r="AM48" s="162"/>
      <c r="AN48" s="162"/>
      <c r="AO48" s="162"/>
      <c r="AP48" s="166">
        <v>8224</v>
      </c>
      <c r="AQ48" s="166">
        <v>20005</v>
      </c>
      <c r="AR48" s="166">
        <f t="shared" si="0"/>
        <v>12</v>
      </c>
      <c r="AS48" s="169">
        <f t="shared" si="1"/>
        <v>96</v>
      </c>
      <c r="AT48" s="168"/>
    </row>
    <row r="49" s="116" customFormat="1" ht="85.5" hidden="1" spans="1:46">
      <c r="A49" s="95" t="s">
        <v>880</v>
      </c>
      <c r="B49" s="95" t="s">
        <v>723</v>
      </c>
      <c r="C49" s="95" t="s">
        <v>735</v>
      </c>
      <c r="D49" s="133" t="s">
        <v>747</v>
      </c>
      <c r="E49" s="133" t="s">
        <v>748</v>
      </c>
      <c r="F49" s="133" t="s">
        <v>869</v>
      </c>
      <c r="G49" s="133"/>
      <c r="H49" s="133" t="s">
        <v>881</v>
      </c>
      <c r="I49" s="133" t="s">
        <v>882</v>
      </c>
      <c r="J49" s="133" t="s">
        <v>883</v>
      </c>
      <c r="K49" s="133" t="s">
        <v>884</v>
      </c>
      <c r="L49" s="133" t="s">
        <v>724</v>
      </c>
      <c r="M49" s="133" t="s">
        <v>724</v>
      </c>
      <c r="N49" s="133" t="s">
        <v>735</v>
      </c>
      <c r="O49" s="133" t="s">
        <v>19</v>
      </c>
      <c r="P49" s="133" t="s">
        <v>873</v>
      </c>
      <c r="Q49" s="132"/>
      <c r="R49" s="132" t="s">
        <v>875</v>
      </c>
      <c r="S49" s="132"/>
      <c r="T49" s="132"/>
      <c r="U49" s="95"/>
      <c r="V49" s="132">
        <v>2026</v>
      </c>
      <c r="W49" s="144">
        <v>46112</v>
      </c>
      <c r="X49" s="141" t="s">
        <v>756</v>
      </c>
      <c r="Y49" s="95"/>
      <c r="Z49" s="95">
        <v>20</v>
      </c>
      <c r="AA49" s="95"/>
      <c r="AB49" s="95"/>
      <c r="AC49" s="95"/>
      <c r="AD49" s="95"/>
      <c r="AE49" s="156">
        <v>46023</v>
      </c>
      <c r="AF49" s="156">
        <v>46112</v>
      </c>
      <c r="AG49" s="95"/>
      <c r="AH49" s="95"/>
      <c r="AI49" s="95"/>
      <c r="AJ49" s="95"/>
      <c r="AK49" s="95"/>
      <c r="AL49" s="95"/>
      <c r="AM49" s="162"/>
      <c r="AN49" s="162"/>
      <c r="AO49" s="162"/>
      <c r="AP49" s="166">
        <v>8268</v>
      </c>
      <c r="AQ49" s="166">
        <v>20050</v>
      </c>
      <c r="AR49" s="166">
        <f t="shared" si="0"/>
        <v>20</v>
      </c>
      <c r="AS49" s="169">
        <f t="shared" si="1"/>
        <v>160</v>
      </c>
      <c r="AT49" s="168"/>
    </row>
    <row r="50" s="116" customFormat="1" ht="57" hidden="1" spans="1:46">
      <c r="A50" s="131" t="s">
        <v>722</v>
      </c>
      <c r="B50" s="131" t="s">
        <v>734</v>
      </c>
      <c r="C50" s="131" t="s">
        <v>735</v>
      </c>
      <c r="D50" s="133" t="s">
        <v>885</v>
      </c>
      <c r="E50" s="133" t="s">
        <v>886</v>
      </c>
      <c r="F50" s="133" t="s">
        <v>869</v>
      </c>
      <c r="G50" s="133"/>
      <c r="H50" s="133" t="s">
        <v>887</v>
      </c>
      <c r="I50" s="133" t="s">
        <v>888</v>
      </c>
      <c r="J50" s="133" t="s">
        <v>889</v>
      </c>
      <c r="K50" s="133" t="s">
        <v>730</v>
      </c>
      <c r="L50" s="133" t="s">
        <v>724</v>
      </c>
      <c r="M50" s="133" t="s">
        <v>724</v>
      </c>
      <c r="N50" s="133" t="s">
        <v>735</v>
      </c>
      <c r="O50" s="133" t="s">
        <v>19</v>
      </c>
      <c r="P50" s="133" t="s">
        <v>890</v>
      </c>
      <c r="Q50" s="133" t="s">
        <v>717</v>
      </c>
      <c r="R50" s="133" t="s">
        <v>875</v>
      </c>
      <c r="S50" s="133">
        <v>2</v>
      </c>
      <c r="T50" s="133">
        <v>2</v>
      </c>
      <c r="U50" s="131">
        <v>1</v>
      </c>
      <c r="V50" s="133">
        <v>2026</v>
      </c>
      <c r="W50" s="142">
        <v>46112</v>
      </c>
      <c r="X50" s="141" t="s">
        <v>891</v>
      </c>
      <c r="Y50" s="131"/>
      <c r="Z50" s="131">
        <v>68</v>
      </c>
      <c r="AA50" s="131"/>
      <c r="AB50" s="131"/>
      <c r="AC50" s="131"/>
      <c r="AD50" s="131"/>
      <c r="AE50" s="154">
        <v>46023</v>
      </c>
      <c r="AF50" s="154">
        <v>46112</v>
      </c>
      <c r="AG50" s="95"/>
      <c r="AH50" s="95"/>
      <c r="AI50" s="95"/>
      <c r="AJ50" s="95"/>
      <c r="AK50" s="95"/>
      <c r="AL50" s="95"/>
      <c r="AM50" s="162"/>
      <c r="AN50" s="162"/>
      <c r="AO50" s="162"/>
      <c r="AP50" s="166">
        <v>8181</v>
      </c>
      <c r="AQ50" s="166">
        <v>19962</v>
      </c>
      <c r="AR50" s="166">
        <f t="shared" si="0"/>
        <v>68</v>
      </c>
      <c r="AS50" s="169">
        <f t="shared" si="1"/>
        <v>544</v>
      </c>
      <c r="AT50" s="168"/>
    </row>
    <row r="51" s="116" customFormat="1" ht="71.25" spans="1:46">
      <c r="A51" s="131" t="s">
        <v>722</v>
      </c>
      <c r="B51" s="131" t="s">
        <v>723</v>
      </c>
      <c r="C51" s="131" t="s">
        <v>735</v>
      </c>
      <c r="D51" s="133" t="s">
        <v>736</v>
      </c>
      <c r="E51" s="133" t="s">
        <v>737</v>
      </c>
      <c r="F51" s="133" t="s">
        <v>869</v>
      </c>
      <c r="G51" s="133"/>
      <c r="H51" s="133" t="s">
        <v>892</v>
      </c>
      <c r="I51" s="133" t="s">
        <v>893</v>
      </c>
      <c r="J51" s="133" t="s">
        <v>894</v>
      </c>
      <c r="K51" s="133" t="s">
        <v>879</v>
      </c>
      <c r="L51" s="133" t="s">
        <v>724</v>
      </c>
      <c r="M51" s="133" t="s">
        <v>724</v>
      </c>
      <c r="N51" s="133" t="s">
        <v>735</v>
      </c>
      <c r="O51" s="133" t="s">
        <v>19</v>
      </c>
      <c r="P51" s="133" t="s">
        <v>895</v>
      </c>
      <c r="Q51" s="133" t="s">
        <v>718</v>
      </c>
      <c r="R51" s="133" t="s">
        <v>875</v>
      </c>
      <c r="S51" s="133"/>
      <c r="T51" s="133"/>
      <c r="U51" s="131"/>
      <c r="V51" s="133">
        <v>2026</v>
      </c>
      <c r="W51" s="142">
        <v>46112</v>
      </c>
      <c r="X51" s="141" t="s">
        <v>746</v>
      </c>
      <c r="Y51" s="131"/>
      <c r="Z51" s="131"/>
      <c r="AA51" s="131">
        <v>20</v>
      </c>
      <c r="AB51" s="131"/>
      <c r="AC51" s="131"/>
      <c r="AD51" s="131"/>
      <c r="AE51" s="154">
        <v>46023</v>
      </c>
      <c r="AF51" s="154">
        <v>46112</v>
      </c>
      <c r="AG51" s="95"/>
      <c r="AH51" s="95"/>
      <c r="AI51" s="95"/>
      <c r="AJ51" s="95"/>
      <c r="AK51" s="95"/>
      <c r="AL51" s="95"/>
      <c r="AM51" s="162"/>
      <c r="AN51" s="162"/>
      <c r="AO51" s="162"/>
      <c r="AP51" s="166">
        <v>8222</v>
      </c>
      <c r="AQ51" s="166">
        <v>20001</v>
      </c>
      <c r="AR51" s="166">
        <f t="shared" si="0"/>
        <v>20</v>
      </c>
      <c r="AS51" s="169">
        <f t="shared" si="1"/>
        <v>160</v>
      </c>
      <c r="AT51" s="168"/>
    </row>
    <row r="52" s="116" customFormat="1" ht="85.5" spans="1:46">
      <c r="A52" s="131" t="s">
        <v>722</v>
      </c>
      <c r="B52" s="131" t="s">
        <v>723</v>
      </c>
      <c r="C52" s="131" t="s">
        <v>735</v>
      </c>
      <c r="D52" s="133" t="s">
        <v>736</v>
      </c>
      <c r="E52" s="133" t="s">
        <v>737</v>
      </c>
      <c r="F52" s="133" t="s">
        <v>869</v>
      </c>
      <c r="G52" s="133"/>
      <c r="H52" s="133" t="s">
        <v>892</v>
      </c>
      <c r="I52" s="133" t="s">
        <v>896</v>
      </c>
      <c r="J52" s="133" t="s">
        <v>897</v>
      </c>
      <c r="K52" s="133" t="s">
        <v>879</v>
      </c>
      <c r="L52" s="133" t="s">
        <v>724</v>
      </c>
      <c r="M52" s="133" t="s">
        <v>724</v>
      </c>
      <c r="N52" s="133" t="s">
        <v>735</v>
      </c>
      <c r="O52" s="133" t="s">
        <v>19</v>
      </c>
      <c r="P52" s="133" t="s">
        <v>895</v>
      </c>
      <c r="Q52" s="133" t="s">
        <v>718</v>
      </c>
      <c r="R52" s="133" t="s">
        <v>875</v>
      </c>
      <c r="S52" s="133"/>
      <c r="T52" s="133"/>
      <c r="U52" s="131"/>
      <c r="V52" s="133">
        <v>2026</v>
      </c>
      <c r="W52" s="142">
        <v>46112</v>
      </c>
      <c r="X52" s="141" t="s">
        <v>746</v>
      </c>
      <c r="Y52" s="131"/>
      <c r="Z52" s="131"/>
      <c r="AA52" s="131">
        <v>18</v>
      </c>
      <c r="AB52" s="131"/>
      <c r="AC52" s="131"/>
      <c r="AD52" s="131"/>
      <c r="AE52" s="154">
        <v>46023</v>
      </c>
      <c r="AF52" s="154">
        <v>46112</v>
      </c>
      <c r="AG52" s="95"/>
      <c r="AH52" s="95"/>
      <c r="AI52" s="95"/>
      <c r="AJ52" s="95"/>
      <c r="AK52" s="95"/>
      <c r="AL52" s="95"/>
      <c r="AM52" s="162"/>
      <c r="AN52" s="162"/>
      <c r="AO52" s="162"/>
      <c r="AP52" s="166">
        <v>8222</v>
      </c>
      <c r="AQ52" s="166">
        <v>20002</v>
      </c>
      <c r="AR52" s="166">
        <f t="shared" si="0"/>
        <v>18</v>
      </c>
      <c r="AS52" s="169">
        <f t="shared" si="1"/>
        <v>144</v>
      </c>
      <c r="AT52" s="168"/>
    </row>
    <row r="53" s="116" customFormat="1" ht="42.75" spans="1:46">
      <c r="A53" s="131" t="s">
        <v>722</v>
      </c>
      <c r="B53" s="131" t="s">
        <v>723</v>
      </c>
      <c r="C53" s="131" t="s">
        <v>735</v>
      </c>
      <c r="D53" s="133" t="s">
        <v>736</v>
      </c>
      <c r="E53" s="133" t="s">
        <v>737</v>
      </c>
      <c r="F53" s="133" t="s">
        <v>869</v>
      </c>
      <c r="G53" s="133"/>
      <c r="H53" s="133" t="s">
        <v>898</v>
      </c>
      <c r="I53" s="133" t="s">
        <v>899</v>
      </c>
      <c r="J53" s="133" t="s">
        <v>900</v>
      </c>
      <c r="K53" s="133" t="s">
        <v>879</v>
      </c>
      <c r="L53" s="133" t="s">
        <v>724</v>
      </c>
      <c r="M53" s="133" t="s">
        <v>724</v>
      </c>
      <c r="N53" s="133" t="s">
        <v>735</v>
      </c>
      <c r="O53" s="133" t="s">
        <v>19</v>
      </c>
      <c r="P53" s="133" t="s">
        <v>895</v>
      </c>
      <c r="Q53" s="133" t="s">
        <v>718</v>
      </c>
      <c r="R53" s="133"/>
      <c r="S53" s="133"/>
      <c r="T53" s="133"/>
      <c r="U53" s="131"/>
      <c r="V53" s="133">
        <v>2026</v>
      </c>
      <c r="W53" s="142">
        <v>46112</v>
      </c>
      <c r="X53" s="141" t="s">
        <v>746</v>
      </c>
      <c r="Y53" s="131"/>
      <c r="Z53" s="131"/>
      <c r="AA53" s="131">
        <v>10</v>
      </c>
      <c r="AB53" s="131"/>
      <c r="AC53" s="131"/>
      <c r="AD53" s="131"/>
      <c r="AE53" s="154">
        <v>46023</v>
      </c>
      <c r="AF53" s="154">
        <v>46112</v>
      </c>
      <c r="AG53" s="95"/>
      <c r="AH53" s="95"/>
      <c r="AI53" s="95"/>
      <c r="AJ53" s="95"/>
      <c r="AK53" s="95"/>
      <c r="AL53" s="95"/>
      <c r="AM53" s="162"/>
      <c r="AN53" s="162"/>
      <c r="AO53" s="162"/>
      <c r="AP53" s="166">
        <v>8225</v>
      </c>
      <c r="AQ53" s="166">
        <v>20006</v>
      </c>
      <c r="AR53" s="166">
        <f t="shared" si="0"/>
        <v>10</v>
      </c>
      <c r="AS53" s="169">
        <f t="shared" si="1"/>
        <v>80</v>
      </c>
      <c r="AT53" s="168"/>
    </row>
    <row r="54" s="116" customFormat="1" ht="57" hidden="1" spans="1:46">
      <c r="A54" s="135" t="s">
        <v>825</v>
      </c>
      <c r="B54" s="135" t="s">
        <v>734</v>
      </c>
      <c r="C54" s="135" t="s">
        <v>735</v>
      </c>
      <c r="D54" s="136" t="s">
        <v>846</v>
      </c>
      <c r="E54" s="136" t="s">
        <v>847</v>
      </c>
      <c r="F54" s="136" t="s">
        <v>869</v>
      </c>
      <c r="G54" s="136"/>
      <c r="H54" s="136" t="s">
        <v>901</v>
      </c>
      <c r="I54" s="136" t="s">
        <v>902</v>
      </c>
      <c r="J54" s="136" t="s">
        <v>903</v>
      </c>
      <c r="K54" s="136" t="s">
        <v>730</v>
      </c>
      <c r="L54" s="136" t="s">
        <v>724</v>
      </c>
      <c r="M54" s="136" t="s">
        <v>724</v>
      </c>
      <c r="N54" s="136" t="s">
        <v>724</v>
      </c>
      <c r="O54" s="136" t="s">
        <v>19</v>
      </c>
      <c r="P54" s="136" t="s">
        <v>895</v>
      </c>
      <c r="Q54" s="136" t="s">
        <v>718</v>
      </c>
      <c r="R54" s="136" t="s">
        <v>718</v>
      </c>
      <c r="S54" s="136"/>
      <c r="T54" s="136"/>
      <c r="U54" s="135"/>
      <c r="V54" s="136">
        <v>2026</v>
      </c>
      <c r="W54" s="145">
        <v>46112</v>
      </c>
      <c r="X54" s="146" t="s">
        <v>852</v>
      </c>
      <c r="Y54" s="135"/>
      <c r="Z54" s="135"/>
      <c r="AA54" s="135">
        <v>20</v>
      </c>
      <c r="AB54" s="135"/>
      <c r="AC54" s="135"/>
      <c r="AD54" s="135"/>
      <c r="AE54" s="157">
        <v>46023</v>
      </c>
      <c r="AF54" s="157">
        <v>46112</v>
      </c>
      <c r="AG54" s="95"/>
      <c r="AH54" s="95"/>
      <c r="AI54" s="95"/>
      <c r="AJ54" s="95"/>
      <c r="AK54" s="95"/>
      <c r="AL54" s="95"/>
      <c r="AM54" s="162"/>
      <c r="AN54" s="162"/>
      <c r="AO54" s="162"/>
      <c r="AP54" s="166">
        <v>9203</v>
      </c>
      <c r="AQ54" s="166">
        <v>21597</v>
      </c>
      <c r="AR54" s="166"/>
      <c r="AS54" s="169"/>
      <c r="AT54" s="168" t="s">
        <v>904</v>
      </c>
    </row>
    <row r="55" s="116" customFormat="1" ht="42.75" hidden="1" spans="1:46">
      <c r="A55" s="137" t="s">
        <v>722</v>
      </c>
      <c r="B55" s="137" t="s">
        <v>734</v>
      </c>
      <c r="C55" s="137" t="s">
        <v>735</v>
      </c>
      <c r="D55" s="138" t="s">
        <v>736</v>
      </c>
      <c r="E55" s="138" t="s">
        <v>737</v>
      </c>
      <c r="F55" s="138" t="s">
        <v>869</v>
      </c>
      <c r="G55" s="138"/>
      <c r="H55" s="138" t="s">
        <v>892</v>
      </c>
      <c r="I55" s="138" t="s">
        <v>905</v>
      </c>
      <c r="J55" s="138" t="s">
        <v>906</v>
      </c>
      <c r="K55" s="138" t="s">
        <v>879</v>
      </c>
      <c r="L55" s="138" t="s">
        <v>724</v>
      </c>
      <c r="M55" s="138" t="s">
        <v>724</v>
      </c>
      <c r="N55" s="138" t="s">
        <v>724</v>
      </c>
      <c r="O55" s="138" t="s">
        <v>19</v>
      </c>
      <c r="P55" s="138" t="s">
        <v>895</v>
      </c>
      <c r="Q55" s="138" t="s">
        <v>718</v>
      </c>
      <c r="R55" s="133"/>
      <c r="S55" s="133"/>
      <c r="T55" s="133"/>
      <c r="U55" s="131"/>
      <c r="V55" s="133">
        <v>2026</v>
      </c>
      <c r="W55" s="147">
        <v>46112</v>
      </c>
      <c r="X55" s="148" t="s">
        <v>746</v>
      </c>
      <c r="Y55" s="137"/>
      <c r="Z55" s="137"/>
      <c r="AA55" s="137">
        <v>0</v>
      </c>
      <c r="AB55" s="137"/>
      <c r="AC55" s="137"/>
      <c r="AD55" s="137"/>
      <c r="AE55" s="158">
        <v>46023</v>
      </c>
      <c r="AF55" s="158">
        <v>46112</v>
      </c>
      <c r="AG55" s="95"/>
      <c r="AH55" s="95"/>
      <c r="AI55" s="95"/>
      <c r="AJ55" s="95"/>
      <c r="AK55" s="95"/>
      <c r="AL55" s="95"/>
      <c r="AM55" s="162"/>
      <c r="AN55" s="162"/>
      <c r="AO55" s="162"/>
      <c r="AP55" s="166">
        <v>8222</v>
      </c>
      <c r="AQ55" s="166">
        <v>20003</v>
      </c>
      <c r="AR55" s="166">
        <f t="shared" ref="AR55:AR79" si="2">SUM(Y55:AD55)</f>
        <v>0</v>
      </c>
      <c r="AS55" s="169">
        <f t="shared" ref="AS55:AS79" si="3">AR55*8</f>
        <v>0</v>
      </c>
      <c r="AT55" s="168" t="s">
        <v>907</v>
      </c>
    </row>
    <row r="56" s="116" customFormat="1" ht="42.75" hidden="1" spans="1:46">
      <c r="A56" s="131" t="s">
        <v>722</v>
      </c>
      <c r="B56" s="131" t="s">
        <v>723</v>
      </c>
      <c r="C56" s="131" t="s">
        <v>735</v>
      </c>
      <c r="D56" s="133" t="s">
        <v>736</v>
      </c>
      <c r="E56" s="133" t="s">
        <v>737</v>
      </c>
      <c r="F56" s="133" t="s">
        <v>869</v>
      </c>
      <c r="G56" s="133"/>
      <c r="H56" s="133" t="s">
        <v>908</v>
      </c>
      <c r="I56" s="133" t="s">
        <v>908</v>
      </c>
      <c r="J56" s="133" t="s">
        <v>909</v>
      </c>
      <c r="K56" s="133" t="s">
        <v>730</v>
      </c>
      <c r="L56" s="133" t="s">
        <v>724</v>
      </c>
      <c r="M56" s="133" t="s">
        <v>724</v>
      </c>
      <c r="N56" s="133" t="s">
        <v>724</v>
      </c>
      <c r="O56" s="133" t="s">
        <v>19</v>
      </c>
      <c r="P56" s="133" t="s">
        <v>910</v>
      </c>
      <c r="Q56" s="133" t="s">
        <v>718</v>
      </c>
      <c r="R56" s="133"/>
      <c r="S56" s="133"/>
      <c r="T56" s="133"/>
      <c r="U56" s="131"/>
      <c r="V56" s="133">
        <v>2026</v>
      </c>
      <c r="W56" s="142">
        <v>46112</v>
      </c>
      <c r="X56" s="141" t="s">
        <v>746</v>
      </c>
      <c r="Y56" s="131"/>
      <c r="Z56" s="131"/>
      <c r="AA56" s="131">
        <v>6</v>
      </c>
      <c r="AB56" s="131"/>
      <c r="AC56" s="131"/>
      <c r="AD56" s="131"/>
      <c r="AE56" s="154">
        <v>46023</v>
      </c>
      <c r="AF56" s="154">
        <v>46112</v>
      </c>
      <c r="AG56" s="95"/>
      <c r="AH56" s="95"/>
      <c r="AI56" s="95"/>
      <c r="AJ56" s="95"/>
      <c r="AK56" s="95"/>
      <c r="AL56" s="95"/>
      <c r="AM56" s="162"/>
      <c r="AN56" s="162"/>
      <c r="AO56" s="162"/>
      <c r="AP56" s="166">
        <v>8226</v>
      </c>
      <c r="AQ56" s="166">
        <v>20007</v>
      </c>
      <c r="AR56" s="166">
        <f t="shared" si="2"/>
        <v>6</v>
      </c>
      <c r="AS56" s="169">
        <f t="shared" si="3"/>
        <v>48</v>
      </c>
      <c r="AT56" s="168"/>
    </row>
    <row r="57" s="116" customFormat="1" ht="57" hidden="1" spans="1:46">
      <c r="A57" s="131" t="s">
        <v>722</v>
      </c>
      <c r="B57" s="131" t="s">
        <v>734</v>
      </c>
      <c r="C57" s="131" t="s">
        <v>735</v>
      </c>
      <c r="D57" s="133" t="s">
        <v>911</v>
      </c>
      <c r="E57" s="133" t="s">
        <v>912</v>
      </c>
      <c r="F57" s="133" t="s">
        <v>749</v>
      </c>
      <c r="G57" s="133"/>
      <c r="H57" s="133" t="s">
        <v>913</v>
      </c>
      <c r="I57" s="133" t="s">
        <v>914</v>
      </c>
      <c r="J57" s="139" t="s">
        <v>915</v>
      </c>
      <c r="K57" s="133" t="s">
        <v>916</v>
      </c>
      <c r="L57" s="133"/>
      <c r="M57" s="133" t="s">
        <v>724</v>
      </c>
      <c r="N57" s="133" t="s">
        <v>735</v>
      </c>
      <c r="O57" s="133"/>
      <c r="P57" s="133" t="s">
        <v>917</v>
      </c>
      <c r="Q57" s="133" t="s">
        <v>718</v>
      </c>
      <c r="R57" s="141" t="s">
        <v>718</v>
      </c>
      <c r="S57" s="133"/>
      <c r="T57" s="133"/>
      <c r="U57" s="131"/>
      <c r="V57" s="133">
        <v>2026</v>
      </c>
      <c r="W57" s="140">
        <v>46112</v>
      </c>
      <c r="X57" s="141" t="s">
        <v>918</v>
      </c>
      <c r="Y57" s="131"/>
      <c r="Z57" s="131"/>
      <c r="AA57" s="131">
        <v>0.5</v>
      </c>
      <c r="AB57" s="131"/>
      <c r="AC57" s="131"/>
      <c r="AD57" s="131"/>
      <c r="AE57" s="154">
        <v>46023</v>
      </c>
      <c r="AF57" s="154">
        <v>46112</v>
      </c>
      <c r="AG57" s="95"/>
      <c r="AH57" s="95"/>
      <c r="AI57" s="95"/>
      <c r="AJ57" s="95"/>
      <c r="AK57" s="95"/>
      <c r="AL57" s="95"/>
      <c r="AM57" s="162"/>
      <c r="AN57" s="162"/>
      <c r="AO57" s="162"/>
      <c r="AP57" s="166">
        <v>8174</v>
      </c>
      <c r="AQ57" s="166">
        <v>19955</v>
      </c>
      <c r="AR57" s="166">
        <f t="shared" si="2"/>
        <v>0.5</v>
      </c>
      <c r="AS57" s="169">
        <f t="shared" si="3"/>
        <v>4</v>
      </c>
      <c r="AT57" s="168"/>
    </row>
    <row r="58" s="116" customFormat="1" ht="156.75" hidden="1" spans="1:46">
      <c r="A58" s="131" t="s">
        <v>722</v>
      </c>
      <c r="B58" s="131" t="s">
        <v>734</v>
      </c>
      <c r="C58" s="131" t="s">
        <v>735</v>
      </c>
      <c r="D58" s="133" t="s">
        <v>911</v>
      </c>
      <c r="E58" s="133" t="s">
        <v>912</v>
      </c>
      <c r="F58" s="133" t="s">
        <v>749</v>
      </c>
      <c r="G58" s="133"/>
      <c r="H58" s="133" t="s">
        <v>919</v>
      </c>
      <c r="I58" s="133" t="s">
        <v>920</v>
      </c>
      <c r="J58" s="139" t="s">
        <v>915</v>
      </c>
      <c r="K58" s="133" t="s">
        <v>921</v>
      </c>
      <c r="L58" s="133"/>
      <c r="M58" s="133" t="s">
        <v>724</v>
      </c>
      <c r="N58" s="133" t="s">
        <v>735</v>
      </c>
      <c r="O58" s="133"/>
      <c r="P58" s="133" t="s">
        <v>917</v>
      </c>
      <c r="Q58" s="133" t="s">
        <v>718</v>
      </c>
      <c r="R58" s="141" t="s">
        <v>718</v>
      </c>
      <c r="S58" s="133"/>
      <c r="T58" s="133"/>
      <c r="U58" s="131"/>
      <c r="V58" s="133">
        <v>2026</v>
      </c>
      <c r="W58" s="140">
        <v>46112</v>
      </c>
      <c r="X58" s="141" t="s">
        <v>918</v>
      </c>
      <c r="Y58" s="131"/>
      <c r="Z58" s="131"/>
      <c r="AA58" s="131">
        <v>3</v>
      </c>
      <c r="AB58" s="131"/>
      <c r="AC58" s="131"/>
      <c r="AD58" s="131"/>
      <c r="AE58" s="154">
        <v>46023</v>
      </c>
      <c r="AF58" s="154">
        <v>46112</v>
      </c>
      <c r="AG58" s="95"/>
      <c r="AH58" s="95"/>
      <c r="AI58" s="95"/>
      <c r="AJ58" s="95"/>
      <c r="AK58" s="95"/>
      <c r="AL58" s="95"/>
      <c r="AM58" s="162"/>
      <c r="AN58" s="162"/>
      <c r="AO58" s="162"/>
      <c r="AP58" s="166">
        <v>8175</v>
      </c>
      <c r="AQ58" s="166">
        <v>19956</v>
      </c>
      <c r="AR58" s="166">
        <f t="shared" si="2"/>
        <v>3</v>
      </c>
      <c r="AS58" s="169">
        <f t="shared" si="3"/>
        <v>24</v>
      </c>
      <c r="AT58" s="168"/>
    </row>
    <row r="59" s="116" customFormat="1" ht="85.5" hidden="1" spans="1:46">
      <c r="A59" s="131" t="s">
        <v>722</v>
      </c>
      <c r="B59" s="131" t="s">
        <v>734</v>
      </c>
      <c r="C59" s="131" t="s">
        <v>735</v>
      </c>
      <c r="D59" s="133" t="s">
        <v>911</v>
      </c>
      <c r="E59" s="133" t="s">
        <v>912</v>
      </c>
      <c r="F59" s="133" t="s">
        <v>749</v>
      </c>
      <c r="G59" s="133"/>
      <c r="H59" s="133" t="s">
        <v>922</v>
      </c>
      <c r="I59" s="133" t="s">
        <v>923</v>
      </c>
      <c r="J59" s="139" t="s">
        <v>915</v>
      </c>
      <c r="K59" s="133" t="s">
        <v>921</v>
      </c>
      <c r="L59" s="133"/>
      <c r="M59" s="133" t="s">
        <v>724</v>
      </c>
      <c r="N59" s="133" t="s">
        <v>735</v>
      </c>
      <c r="O59" s="133"/>
      <c r="P59" s="133" t="s">
        <v>917</v>
      </c>
      <c r="Q59" s="133" t="s">
        <v>718</v>
      </c>
      <c r="R59" s="141" t="s">
        <v>718</v>
      </c>
      <c r="S59" s="133"/>
      <c r="T59" s="133"/>
      <c r="U59" s="131"/>
      <c r="V59" s="133">
        <v>2026</v>
      </c>
      <c r="W59" s="140">
        <v>46112</v>
      </c>
      <c r="X59" s="141" t="s">
        <v>918</v>
      </c>
      <c r="Y59" s="131"/>
      <c r="Z59" s="131"/>
      <c r="AA59" s="131">
        <v>2</v>
      </c>
      <c r="AB59" s="131"/>
      <c r="AC59" s="131"/>
      <c r="AD59" s="131"/>
      <c r="AE59" s="154">
        <v>46023</v>
      </c>
      <c r="AF59" s="154">
        <v>46112</v>
      </c>
      <c r="AG59" s="95"/>
      <c r="AH59" s="95"/>
      <c r="AI59" s="95"/>
      <c r="AJ59" s="95"/>
      <c r="AK59" s="95"/>
      <c r="AL59" s="95"/>
      <c r="AM59" s="162"/>
      <c r="AN59" s="162"/>
      <c r="AO59" s="162"/>
      <c r="AP59" s="166">
        <v>8176</v>
      </c>
      <c r="AQ59" s="166">
        <v>19957</v>
      </c>
      <c r="AR59" s="166">
        <f t="shared" si="2"/>
        <v>2</v>
      </c>
      <c r="AS59" s="169">
        <f t="shared" si="3"/>
        <v>16</v>
      </c>
      <c r="AT59" s="168"/>
    </row>
    <row r="60" s="116" customFormat="1" ht="85.5" hidden="1" spans="1:46">
      <c r="A60" s="131" t="s">
        <v>722</v>
      </c>
      <c r="B60" s="131" t="s">
        <v>734</v>
      </c>
      <c r="C60" s="131" t="s">
        <v>735</v>
      </c>
      <c r="D60" s="133" t="s">
        <v>911</v>
      </c>
      <c r="E60" s="133" t="s">
        <v>912</v>
      </c>
      <c r="F60" s="133" t="s">
        <v>749</v>
      </c>
      <c r="G60" s="133"/>
      <c r="H60" s="133" t="s">
        <v>924</v>
      </c>
      <c r="I60" s="133" t="s">
        <v>925</v>
      </c>
      <c r="J60" s="139" t="s">
        <v>915</v>
      </c>
      <c r="K60" s="133" t="s">
        <v>921</v>
      </c>
      <c r="L60" s="133"/>
      <c r="M60" s="133" t="s">
        <v>724</v>
      </c>
      <c r="N60" s="133" t="s">
        <v>735</v>
      </c>
      <c r="O60" s="133"/>
      <c r="P60" s="133" t="s">
        <v>917</v>
      </c>
      <c r="Q60" s="133" t="s">
        <v>718</v>
      </c>
      <c r="R60" s="141" t="s">
        <v>718</v>
      </c>
      <c r="S60" s="133"/>
      <c r="T60" s="133"/>
      <c r="U60" s="131"/>
      <c r="V60" s="133">
        <v>2026</v>
      </c>
      <c r="W60" s="140">
        <v>46112</v>
      </c>
      <c r="X60" s="141" t="s">
        <v>918</v>
      </c>
      <c r="Y60" s="131"/>
      <c r="Z60" s="131"/>
      <c r="AA60" s="131">
        <v>2</v>
      </c>
      <c r="AB60" s="131"/>
      <c r="AC60" s="131"/>
      <c r="AD60" s="131"/>
      <c r="AE60" s="154">
        <v>46023</v>
      </c>
      <c r="AF60" s="154">
        <v>46112</v>
      </c>
      <c r="AG60" s="95"/>
      <c r="AH60" s="95"/>
      <c r="AI60" s="95"/>
      <c r="AJ60" s="95"/>
      <c r="AK60" s="95"/>
      <c r="AL60" s="95"/>
      <c r="AM60" s="162"/>
      <c r="AN60" s="162"/>
      <c r="AO60" s="162"/>
      <c r="AP60" s="166">
        <v>8177</v>
      </c>
      <c r="AQ60" s="166">
        <v>19958</v>
      </c>
      <c r="AR60" s="166">
        <f t="shared" si="2"/>
        <v>2</v>
      </c>
      <c r="AS60" s="169">
        <f t="shared" si="3"/>
        <v>16</v>
      </c>
      <c r="AT60" s="168"/>
    </row>
    <row r="61" s="116" customFormat="1" ht="57" hidden="1" spans="1:46">
      <c r="A61" s="131" t="s">
        <v>722</v>
      </c>
      <c r="B61" s="131" t="s">
        <v>734</v>
      </c>
      <c r="C61" s="131" t="s">
        <v>735</v>
      </c>
      <c r="D61" s="133" t="s">
        <v>911</v>
      </c>
      <c r="E61" s="133" t="s">
        <v>912</v>
      </c>
      <c r="F61" s="133" t="s">
        <v>749</v>
      </c>
      <c r="G61" s="133"/>
      <c r="H61" s="133" t="s">
        <v>926</v>
      </c>
      <c r="I61" s="133" t="s">
        <v>927</v>
      </c>
      <c r="J61" s="139" t="s">
        <v>915</v>
      </c>
      <c r="K61" s="133" t="s">
        <v>916</v>
      </c>
      <c r="L61" s="133"/>
      <c r="M61" s="133" t="s">
        <v>724</v>
      </c>
      <c r="N61" s="133" t="s">
        <v>735</v>
      </c>
      <c r="O61" s="133"/>
      <c r="P61" s="133" t="s">
        <v>917</v>
      </c>
      <c r="Q61" s="133" t="s">
        <v>718</v>
      </c>
      <c r="R61" s="141" t="s">
        <v>718</v>
      </c>
      <c r="S61" s="133"/>
      <c r="T61" s="133"/>
      <c r="U61" s="131"/>
      <c r="V61" s="133">
        <v>2026</v>
      </c>
      <c r="W61" s="140">
        <v>46112</v>
      </c>
      <c r="X61" s="141" t="s">
        <v>918</v>
      </c>
      <c r="Y61" s="131"/>
      <c r="Z61" s="131"/>
      <c r="AA61" s="131">
        <v>1</v>
      </c>
      <c r="AB61" s="131"/>
      <c r="AC61" s="131"/>
      <c r="AD61" s="131"/>
      <c r="AE61" s="154">
        <v>46023</v>
      </c>
      <c r="AF61" s="154">
        <v>46112</v>
      </c>
      <c r="AG61" s="95"/>
      <c r="AH61" s="95"/>
      <c r="AI61" s="95"/>
      <c r="AJ61" s="95"/>
      <c r="AK61" s="95"/>
      <c r="AL61" s="95"/>
      <c r="AM61" s="162"/>
      <c r="AN61" s="162"/>
      <c r="AO61" s="162"/>
      <c r="AP61" s="166">
        <v>8178</v>
      </c>
      <c r="AQ61" s="166">
        <v>19959</v>
      </c>
      <c r="AR61" s="166">
        <f t="shared" si="2"/>
        <v>1</v>
      </c>
      <c r="AS61" s="169">
        <f t="shared" si="3"/>
        <v>8</v>
      </c>
      <c r="AT61" s="168"/>
    </row>
    <row r="62" s="116" customFormat="1" ht="85.5" hidden="1" spans="1:46">
      <c r="A62" s="131" t="s">
        <v>722</v>
      </c>
      <c r="B62" s="131" t="s">
        <v>734</v>
      </c>
      <c r="C62" s="131" t="s">
        <v>735</v>
      </c>
      <c r="D62" s="133" t="s">
        <v>911</v>
      </c>
      <c r="E62" s="133" t="s">
        <v>912</v>
      </c>
      <c r="F62" s="133" t="s">
        <v>749</v>
      </c>
      <c r="G62" s="133"/>
      <c r="H62" s="133" t="s">
        <v>928</v>
      </c>
      <c r="I62" s="133" t="s">
        <v>929</v>
      </c>
      <c r="J62" s="139" t="s">
        <v>915</v>
      </c>
      <c r="K62" s="133" t="s">
        <v>921</v>
      </c>
      <c r="L62" s="133"/>
      <c r="M62" s="133" t="s">
        <v>724</v>
      </c>
      <c r="N62" s="133" t="s">
        <v>735</v>
      </c>
      <c r="O62" s="133"/>
      <c r="P62" s="133" t="s">
        <v>917</v>
      </c>
      <c r="Q62" s="133" t="s">
        <v>718</v>
      </c>
      <c r="R62" s="141" t="s">
        <v>718</v>
      </c>
      <c r="S62" s="133"/>
      <c r="T62" s="133"/>
      <c r="U62" s="131"/>
      <c r="V62" s="133">
        <v>2026</v>
      </c>
      <c r="W62" s="140">
        <v>46112</v>
      </c>
      <c r="X62" s="141" t="s">
        <v>918</v>
      </c>
      <c r="Y62" s="131"/>
      <c r="Z62" s="131"/>
      <c r="AA62" s="131">
        <v>10</v>
      </c>
      <c r="AB62" s="131"/>
      <c r="AC62" s="131"/>
      <c r="AD62" s="131"/>
      <c r="AE62" s="154">
        <v>46023</v>
      </c>
      <c r="AF62" s="154">
        <v>46112</v>
      </c>
      <c r="AG62" s="95"/>
      <c r="AH62" s="95"/>
      <c r="AI62" s="95"/>
      <c r="AJ62" s="95"/>
      <c r="AK62" s="95"/>
      <c r="AL62" s="95"/>
      <c r="AM62" s="162"/>
      <c r="AN62" s="162"/>
      <c r="AO62" s="162"/>
      <c r="AP62" s="166">
        <v>8179</v>
      </c>
      <c r="AQ62" s="166">
        <v>19960</v>
      </c>
      <c r="AR62" s="166">
        <f t="shared" si="2"/>
        <v>10</v>
      </c>
      <c r="AS62" s="169">
        <f t="shared" si="3"/>
        <v>80</v>
      </c>
      <c r="AT62" s="168"/>
    </row>
    <row r="63" s="116" customFormat="1" ht="57" hidden="1" spans="1:46">
      <c r="A63" s="131" t="s">
        <v>722</v>
      </c>
      <c r="B63" s="131" t="s">
        <v>734</v>
      </c>
      <c r="C63" s="131" t="s">
        <v>735</v>
      </c>
      <c r="D63" s="133" t="s">
        <v>911</v>
      </c>
      <c r="E63" s="133" t="s">
        <v>912</v>
      </c>
      <c r="F63" s="133" t="s">
        <v>749</v>
      </c>
      <c r="G63" s="133"/>
      <c r="H63" s="133" t="s">
        <v>930</v>
      </c>
      <c r="I63" s="133" t="s">
        <v>930</v>
      </c>
      <c r="J63" s="139" t="s">
        <v>915</v>
      </c>
      <c r="K63" s="133" t="s">
        <v>931</v>
      </c>
      <c r="L63" s="133"/>
      <c r="M63" s="133" t="s">
        <v>724</v>
      </c>
      <c r="N63" s="133" t="s">
        <v>724</v>
      </c>
      <c r="O63" s="133"/>
      <c r="P63" s="133" t="s">
        <v>917</v>
      </c>
      <c r="Q63" s="133" t="s">
        <v>718</v>
      </c>
      <c r="R63" s="141" t="s">
        <v>718</v>
      </c>
      <c r="S63" s="133"/>
      <c r="T63" s="133"/>
      <c r="U63" s="131"/>
      <c r="V63" s="133">
        <v>2026</v>
      </c>
      <c r="W63" s="140">
        <v>46112</v>
      </c>
      <c r="X63" s="141" t="s">
        <v>918</v>
      </c>
      <c r="Y63" s="131"/>
      <c r="Z63" s="131"/>
      <c r="AA63" s="131">
        <v>47.5</v>
      </c>
      <c r="AB63" s="131"/>
      <c r="AC63" s="131"/>
      <c r="AD63" s="131"/>
      <c r="AE63" s="154">
        <v>46023</v>
      </c>
      <c r="AF63" s="154">
        <v>46112</v>
      </c>
      <c r="AG63" s="95"/>
      <c r="AH63" s="95"/>
      <c r="AI63" s="95"/>
      <c r="AJ63" s="95"/>
      <c r="AK63" s="95"/>
      <c r="AL63" s="95"/>
      <c r="AM63" s="162"/>
      <c r="AN63" s="162"/>
      <c r="AO63" s="162"/>
      <c r="AP63" s="166">
        <v>8180</v>
      </c>
      <c r="AQ63" s="166">
        <v>19961</v>
      </c>
      <c r="AR63" s="166">
        <f t="shared" si="2"/>
        <v>47.5</v>
      </c>
      <c r="AS63" s="169">
        <f t="shared" si="3"/>
        <v>380</v>
      </c>
      <c r="AT63" s="168"/>
    </row>
    <row r="64" s="116" customFormat="1" ht="42.75" hidden="1" spans="1:46">
      <c r="A64" s="131" t="s">
        <v>722</v>
      </c>
      <c r="B64" s="131" t="s">
        <v>734</v>
      </c>
      <c r="C64" s="131" t="s">
        <v>735</v>
      </c>
      <c r="D64" s="133" t="s">
        <v>747</v>
      </c>
      <c r="E64" s="133" t="s">
        <v>932</v>
      </c>
      <c r="F64" s="133" t="s">
        <v>749</v>
      </c>
      <c r="G64" s="133" t="s">
        <v>933</v>
      </c>
      <c r="H64" s="133" t="s">
        <v>933</v>
      </c>
      <c r="I64" s="133" t="s">
        <v>934</v>
      </c>
      <c r="J64" s="133" t="s">
        <v>935</v>
      </c>
      <c r="K64" s="133" t="s">
        <v>730</v>
      </c>
      <c r="L64" s="133" t="s">
        <v>724</v>
      </c>
      <c r="M64" s="133" t="s">
        <v>724</v>
      </c>
      <c r="N64" s="133" t="s">
        <v>735</v>
      </c>
      <c r="O64" s="133" t="s">
        <v>744</v>
      </c>
      <c r="P64" s="133" t="s">
        <v>936</v>
      </c>
      <c r="Q64" s="133" t="s">
        <v>717</v>
      </c>
      <c r="R64" s="133" t="s">
        <v>718</v>
      </c>
      <c r="S64" s="131">
        <v>1</v>
      </c>
      <c r="T64" s="131">
        <v>2</v>
      </c>
      <c r="U64" s="131">
        <v>2</v>
      </c>
      <c r="V64" s="133">
        <v>2026</v>
      </c>
      <c r="W64" s="140">
        <v>46112</v>
      </c>
      <c r="X64" s="141" t="s">
        <v>937</v>
      </c>
      <c r="Y64" s="133"/>
      <c r="Z64" s="131">
        <v>15</v>
      </c>
      <c r="AA64" s="131"/>
      <c r="AB64" s="131"/>
      <c r="AC64" s="131"/>
      <c r="AD64" s="131"/>
      <c r="AE64" s="154">
        <v>46023</v>
      </c>
      <c r="AF64" s="154">
        <v>46112</v>
      </c>
      <c r="AG64" s="95"/>
      <c r="AH64" s="95"/>
      <c r="AI64" s="95"/>
      <c r="AJ64" s="95"/>
      <c r="AK64" s="95"/>
      <c r="AL64" s="95"/>
      <c r="AM64" s="162"/>
      <c r="AN64" s="162"/>
      <c r="AO64" s="162"/>
      <c r="AP64" s="166">
        <v>8275</v>
      </c>
      <c r="AQ64" s="166">
        <v>19938</v>
      </c>
      <c r="AR64" s="166">
        <f t="shared" si="2"/>
        <v>15</v>
      </c>
      <c r="AS64" s="169">
        <f t="shared" si="3"/>
        <v>120</v>
      </c>
      <c r="AT64" s="168"/>
    </row>
    <row r="65" s="116" customFormat="1" ht="42.75" hidden="1" spans="1:46">
      <c r="A65" s="131" t="s">
        <v>722</v>
      </c>
      <c r="B65" s="131" t="s">
        <v>734</v>
      </c>
      <c r="C65" s="131" t="s">
        <v>735</v>
      </c>
      <c r="D65" s="133" t="s">
        <v>747</v>
      </c>
      <c r="E65" s="133" t="s">
        <v>932</v>
      </c>
      <c r="F65" s="133" t="s">
        <v>749</v>
      </c>
      <c r="G65" s="133" t="s">
        <v>938</v>
      </c>
      <c r="H65" s="133" t="s">
        <v>938</v>
      </c>
      <c r="I65" s="133" t="s">
        <v>934</v>
      </c>
      <c r="J65" s="133" t="s">
        <v>935</v>
      </c>
      <c r="K65" s="133" t="s">
        <v>730</v>
      </c>
      <c r="L65" s="133" t="s">
        <v>724</v>
      </c>
      <c r="M65" s="133" t="s">
        <v>724</v>
      </c>
      <c r="N65" s="133" t="s">
        <v>735</v>
      </c>
      <c r="O65" s="133" t="s">
        <v>744</v>
      </c>
      <c r="P65" s="133" t="s">
        <v>936</v>
      </c>
      <c r="Q65" s="133" t="s">
        <v>717</v>
      </c>
      <c r="R65" s="133" t="s">
        <v>718</v>
      </c>
      <c r="S65" s="131">
        <v>1</v>
      </c>
      <c r="T65" s="131">
        <v>2</v>
      </c>
      <c r="U65" s="131">
        <v>2</v>
      </c>
      <c r="V65" s="133">
        <v>2026</v>
      </c>
      <c r="W65" s="140">
        <v>46112</v>
      </c>
      <c r="X65" s="141" t="s">
        <v>937</v>
      </c>
      <c r="Y65" s="133"/>
      <c r="Z65" s="131">
        <v>15</v>
      </c>
      <c r="AA65" s="131"/>
      <c r="AB65" s="131"/>
      <c r="AC65" s="131"/>
      <c r="AD65" s="131"/>
      <c r="AE65" s="154">
        <v>46023</v>
      </c>
      <c r="AF65" s="154">
        <v>46112</v>
      </c>
      <c r="AG65" s="95"/>
      <c r="AH65" s="95"/>
      <c r="AI65" s="95"/>
      <c r="AJ65" s="95"/>
      <c r="AK65" s="95"/>
      <c r="AL65" s="95"/>
      <c r="AM65" s="162"/>
      <c r="AN65" s="162"/>
      <c r="AO65" s="162"/>
      <c r="AP65" s="166">
        <v>8276</v>
      </c>
      <c r="AQ65" s="166">
        <v>19939</v>
      </c>
      <c r="AR65" s="166">
        <f t="shared" si="2"/>
        <v>15</v>
      </c>
      <c r="AS65" s="169">
        <f t="shared" si="3"/>
        <v>120</v>
      </c>
      <c r="AT65" s="168"/>
    </row>
    <row r="66" s="116" customFormat="1" ht="42.75" hidden="1" spans="1:46">
      <c r="A66" s="131" t="s">
        <v>722</v>
      </c>
      <c r="B66" s="131" t="s">
        <v>734</v>
      </c>
      <c r="C66" s="131" t="s">
        <v>735</v>
      </c>
      <c r="D66" s="133" t="s">
        <v>747</v>
      </c>
      <c r="E66" s="133" t="s">
        <v>932</v>
      </c>
      <c r="F66" s="133" t="s">
        <v>749</v>
      </c>
      <c r="G66" s="133" t="s">
        <v>939</v>
      </c>
      <c r="H66" s="133" t="s">
        <v>939</v>
      </c>
      <c r="I66" s="133" t="s">
        <v>934</v>
      </c>
      <c r="J66" s="133" t="s">
        <v>935</v>
      </c>
      <c r="K66" s="133" t="s">
        <v>730</v>
      </c>
      <c r="L66" s="133" t="s">
        <v>724</v>
      </c>
      <c r="M66" s="133" t="s">
        <v>724</v>
      </c>
      <c r="N66" s="133" t="s">
        <v>735</v>
      </c>
      <c r="O66" s="133" t="s">
        <v>744</v>
      </c>
      <c r="P66" s="133" t="s">
        <v>940</v>
      </c>
      <c r="Q66" s="133" t="s">
        <v>718</v>
      </c>
      <c r="R66" s="133" t="s">
        <v>718</v>
      </c>
      <c r="S66" s="131">
        <v>1</v>
      </c>
      <c r="T66" s="131">
        <v>2</v>
      </c>
      <c r="U66" s="131">
        <v>2</v>
      </c>
      <c r="V66" s="133">
        <v>2026</v>
      </c>
      <c r="W66" s="140">
        <v>46112</v>
      </c>
      <c r="X66" s="141" t="s">
        <v>937</v>
      </c>
      <c r="Y66" s="133"/>
      <c r="Z66" s="131"/>
      <c r="AA66" s="131">
        <v>18</v>
      </c>
      <c r="AB66" s="131"/>
      <c r="AC66" s="131"/>
      <c r="AD66" s="131"/>
      <c r="AE66" s="154">
        <v>46023</v>
      </c>
      <c r="AF66" s="154">
        <v>46112</v>
      </c>
      <c r="AG66" s="95"/>
      <c r="AH66" s="95"/>
      <c r="AI66" s="95"/>
      <c r="AJ66" s="95"/>
      <c r="AK66" s="95"/>
      <c r="AL66" s="95"/>
      <c r="AM66" s="162"/>
      <c r="AN66" s="162"/>
      <c r="AO66" s="162"/>
      <c r="AP66" s="166">
        <v>8277</v>
      </c>
      <c r="AQ66" s="166">
        <v>19940</v>
      </c>
      <c r="AR66" s="166">
        <f t="shared" si="2"/>
        <v>18</v>
      </c>
      <c r="AS66" s="169">
        <f t="shared" si="3"/>
        <v>144</v>
      </c>
      <c r="AT66" s="168"/>
    </row>
    <row r="67" s="116" customFormat="1" ht="42.75" hidden="1" spans="1:46">
      <c r="A67" s="131" t="s">
        <v>722</v>
      </c>
      <c r="B67" s="131" t="s">
        <v>734</v>
      </c>
      <c r="C67" s="131" t="s">
        <v>735</v>
      </c>
      <c r="D67" s="133" t="s">
        <v>747</v>
      </c>
      <c r="E67" s="133" t="s">
        <v>932</v>
      </c>
      <c r="F67" s="133" t="s">
        <v>749</v>
      </c>
      <c r="G67" s="133" t="s">
        <v>941</v>
      </c>
      <c r="H67" s="133" t="s">
        <v>941</v>
      </c>
      <c r="I67" s="133" t="s">
        <v>942</v>
      </c>
      <c r="J67" s="133" t="s">
        <v>935</v>
      </c>
      <c r="K67" s="133" t="s">
        <v>730</v>
      </c>
      <c r="L67" s="133" t="s">
        <v>724</v>
      </c>
      <c r="M67" s="133" t="s">
        <v>724</v>
      </c>
      <c r="N67" s="133" t="s">
        <v>735</v>
      </c>
      <c r="O67" s="133" t="s">
        <v>744</v>
      </c>
      <c r="P67" s="133" t="s">
        <v>745</v>
      </c>
      <c r="Q67" s="133" t="s">
        <v>718</v>
      </c>
      <c r="R67" s="133" t="s">
        <v>718</v>
      </c>
      <c r="S67" s="131">
        <v>1</v>
      </c>
      <c r="T67" s="131">
        <v>2</v>
      </c>
      <c r="U67" s="131">
        <v>2</v>
      </c>
      <c r="V67" s="133">
        <v>2026</v>
      </c>
      <c r="W67" s="140">
        <v>46112</v>
      </c>
      <c r="X67" s="141" t="s">
        <v>937</v>
      </c>
      <c r="Y67" s="133"/>
      <c r="Z67" s="131"/>
      <c r="AA67" s="181">
        <v>15</v>
      </c>
      <c r="AB67" s="131"/>
      <c r="AC67" s="131"/>
      <c r="AD67" s="131"/>
      <c r="AE67" s="154">
        <v>46023</v>
      </c>
      <c r="AF67" s="154">
        <v>46112</v>
      </c>
      <c r="AG67" s="95"/>
      <c r="AH67" s="95"/>
      <c r="AI67" s="95"/>
      <c r="AJ67" s="95"/>
      <c r="AK67" s="95"/>
      <c r="AL67" s="95"/>
      <c r="AM67" s="162"/>
      <c r="AN67" s="162"/>
      <c r="AO67" s="162"/>
      <c r="AP67" s="166">
        <v>8278</v>
      </c>
      <c r="AQ67" s="166">
        <v>19941</v>
      </c>
      <c r="AR67" s="166">
        <f t="shared" si="2"/>
        <v>15</v>
      </c>
      <c r="AS67" s="169">
        <f t="shared" si="3"/>
        <v>120</v>
      </c>
      <c r="AT67" s="168" t="s">
        <v>943</v>
      </c>
    </row>
    <row r="68" s="116" customFormat="1" ht="42.75" hidden="1" spans="1:46">
      <c r="A68" s="131" t="s">
        <v>722</v>
      </c>
      <c r="B68" s="131" t="s">
        <v>734</v>
      </c>
      <c r="C68" s="131" t="s">
        <v>735</v>
      </c>
      <c r="D68" s="133" t="s">
        <v>747</v>
      </c>
      <c r="E68" s="133" t="s">
        <v>932</v>
      </c>
      <c r="F68" s="133" t="s">
        <v>749</v>
      </c>
      <c r="G68" s="133" t="s">
        <v>944</v>
      </c>
      <c r="H68" s="133" t="s">
        <v>944</v>
      </c>
      <c r="I68" s="133" t="s">
        <v>945</v>
      </c>
      <c r="J68" s="133" t="s">
        <v>935</v>
      </c>
      <c r="K68" s="133" t="s">
        <v>730</v>
      </c>
      <c r="L68" s="133" t="s">
        <v>724</v>
      </c>
      <c r="M68" s="133" t="s">
        <v>724</v>
      </c>
      <c r="N68" s="133" t="s">
        <v>735</v>
      </c>
      <c r="O68" s="133" t="s">
        <v>744</v>
      </c>
      <c r="P68" s="133" t="s">
        <v>936</v>
      </c>
      <c r="Q68" s="133" t="s">
        <v>717</v>
      </c>
      <c r="R68" s="133" t="s">
        <v>718</v>
      </c>
      <c r="S68" s="133">
        <v>1</v>
      </c>
      <c r="T68" s="133">
        <v>2</v>
      </c>
      <c r="U68" s="131">
        <v>2</v>
      </c>
      <c r="V68" s="133">
        <v>2026</v>
      </c>
      <c r="W68" s="140">
        <v>46112</v>
      </c>
      <c r="X68" s="141" t="s">
        <v>937</v>
      </c>
      <c r="Y68" s="133"/>
      <c r="Z68" s="131">
        <v>16</v>
      </c>
      <c r="AA68" s="131"/>
      <c r="AB68" s="131"/>
      <c r="AC68" s="131"/>
      <c r="AD68" s="131"/>
      <c r="AE68" s="154">
        <v>46023</v>
      </c>
      <c r="AF68" s="154">
        <v>46112</v>
      </c>
      <c r="AG68" s="95"/>
      <c r="AH68" s="95"/>
      <c r="AI68" s="95"/>
      <c r="AJ68" s="95"/>
      <c r="AK68" s="95"/>
      <c r="AL68" s="95"/>
      <c r="AM68" s="162"/>
      <c r="AN68" s="162"/>
      <c r="AO68" s="162"/>
      <c r="AP68" s="166">
        <v>8279</v>
      </c>
      <c r="AQ68" s="166">
        <v>19942</v>
      </c>
      <c r="AR68" s="166">
        <f t="shared" si="2"/>
        <v>16</v>
      </c>
      <c r="AS68" s="169">
        <f t="shared" si="3"/>
        <v>128</v>
      </c>
      <c r="AT68" s="168"/>
    </row>
    <row r="69" s="116" customFormat="1" ht="42.75" hidden="1" spans="1:46">
      <c r="A69" s="131" t="s">
        <v>722</v>
      </c>
      <c r="B69" s="131" t="s">
        <v>734</v>
      </c>
      <c r="C69" s="131" t="s">
        <v>735</v>
      </c>
      <c r="D69" s="133" t="s">
        <v>747</v>
      </c>
      <c r="E69" s="133" t="s">
        <v>932</v>
      </c>
      <c r="F69" s="133" t="s">
        <v>749</v>
      </c>
      <c r="G69" s="133" t="s">
        <v>946</v>
      </c>
      <c r="H69" s="133" t="s">
        <v>946</v>
      </c>
      <c r="I69" s="133" t="s">
        <v>947</v>
      </c>
      <c r="J69" s="133" t="s">
        <v>935</v>
      </c>
      <c r="K69" s="133" t="s">
        <v>730</v>
      </c>
      <c r="L69" s="133" t="s">
        <v>724</v>
      </c>
      <c r="M69" s="133" t="s">
        <v>724</v>
      </c>
      <c r="N69" s="133" t="s">
        <v>735</v>
      </c>
      <c r="O69" s="133" t="s">
        <v>744</v>
      </c>
      <c r="P69" s="133" t="s">
        <v>936</v>
      </c>
      <c r="Q69" s="133" t="s">
        <v>717</v>
      </c>
      <c r="R69" s="133" t="s">
        <v>718</v>
      </c>
      <c r="S69" s="133">
        <v>1</v>
      </c>
      <c r="T69" s="133">
        <v>2</v>
      </c>
      <c r="U69" s="131">
        <v>2</v>
      </c>
      <c r="V69" s="133">
        <v>2026</v>
      </c>
      <c r="W69" s="140">
        <v>46112</v>
      </c>
      <c r="X69" s="141" t="s">
        <v>937</v>
      </c>
      <c r="Y69" s="133"/>
      <c r="Z69" s="131">
        <v>20</v>
      </c>
      <c r="AA69" s="131"/>
      <c r="AB69" s="131"/>
      <c r="AC69" s="131"/>
      <c r="AD69" s="131"/>
      <c r="AE69" s="154">
        <v>46023</v>
      </c>
      <c r="AF69" s="154">
        <v>46112</v>
      </c>
      <c r="AG69" s="95"/>
      <c r="AH69" s="95"/>
      <c r="AI69" s="95"/>
      <c r="AJ69" s="95"/>
      <c r="AK69" s="95"/>
      <c r="AL69" s="95"/>
      <c r="AM69" s="162"/>
      <c r="AN69" s="162"/>
      <c r="AO69" s="162"/>
      <c r="AP69" s="166">
        <v>8280</v>
      </c>
      <c r="AQ69" s="166">
        <v>19943</v>
      </c>
      <c r="AR69" s="166">
        <f t="shared" si="2"/>
        <v>20</v>
      </c>
      <c r="AS69" s="169">
        <f t="shared" si="3"/>
        <v>160</v>
      </c>
      <c r="AT69" s="168"/>
    </row>
    <row r="70" s="116" customFormat="1" ht="42.75" hidden="1" spans="1:46">
      <c r="A70" s="131" t="s">
        <v>722</v>
      </c>
      <c r="B70" s="131" t="s">
        <v>734</v>
      </c>
      <c r="C70" s="131" t="s">
        <v>735</v>
      </c>
      <c r="D70" s="133" t="s">
        <v>747</v>
      </c>
      <c r="E70" s="133" t="s">
        <v>932</v>
      </c>
      <c r="F70" s="133" t="s">
        <v>749</v>
      </c>
      <c r="G70" s="133" t="s">
        <v>948</v>
      </c>
      <c r="H70" s="133" t="s">
        <v>948</v>
      </c>
      <c r="I70" s="133" t="s">
        <v>934</v>
      </c>
      <c r="J70" s="133" t="s">
        <v>935</v>
      </c>
      <c r="K70" s="133" t="s">
        <v>730</v>
      </c>
      <c r="L70" s="133" t="s">
        <v>724</v>
      </c>
      <c r="M70" s="133" t="s">
        <v>724</v>
      </c>
      <c r="N70" s="133" t="s">
        <v>735</v>
      </c>
      <c r="O70" s="133" t="s">
        <v>744</v>
      </c>
      <c r="P70" s="133" t="s">
        <v>940</v>
      </c>
      <c r="Q70" s="133" t="s">
        <v>718</v>
      </c>
      <c r="R70" s="133" t="s">
        <v>718</v>
      </c>
      <c r="S70" s="133">
        <v>1</v>
      </c>
      <c r="T70" s="133">
        <v>2</v>
      </c>
      <c r="U70" s="131">
        <v>2</v>
      </c>
      <c r="V70" s="133">
        <v>2026</v>
      </c>
      <c r="W70" s="140">
        <v>46112</v>
      </c>
      <c r="X70" s="141" t="s">
        <v>937</v>
      </c>
      <c r="Y70" s="133"/>
      <c r="Z70" s="131"/>
      <c r="AA70" s="131">
        <v>18</v>
      </c>
      <c r="AB70" s="131"/>
      <c r="AC70" s="131"/>
      <c r="AD70" s="131"/>
      <c r="AE70" s="154">
        <v>46023</v>
      </c>
      <c r="AF70" s="154">
        <v>46112</v>
      </c>
      <c r="AG70" s="95"/>
      <c r="AH70" s="95"/>
      <c r="AI70" s="95"/>
      <c r="AJ70" s="95"/>
      <c r="AK70" s="95"/>
      <c r="AL70" s="95"/>
      <c r="AM70" s="162"/>
      <c r="AN70" s="162"/>
      <c r="AO70" s="162"/>
      <c r="AP70" s="166">
        <v>8281</v>
      </c>
      <c r="AQ70" s="166">
        <v>19944</v>
      </c>
      <c r="AR70" s="166">
        <f t="shared" si="2"/>
        <v>18</v>
      </c>
      <c r="AS70" s="169">
        <f t="shared" si="3"/>
        <v>144</v>
      </c>
      <c r="AT70" s="168"/>
    </row>
    <row r="71" s="116" customFormat="1" ht="42.75" hidden="1" spans="1:46">
      <c r="A71" s="131" t="s">
        <v>722</v>
      </c>
      <c r="B71" s="131" t="s">
        <v>734</v>
      </c>
      <c r="C71" s="131" t="s">
        <v>735</v>
      </c>
      <c r="D71" s="133" t="s">
        <v>747</v>
      </c>
      <c r="E71" s="133" t="s">
        <v>932</v>
      </c>
      <c r="F71" s="133" t="s">
        <v>749</v>
      </c>
      <c r="G71" s="133" t="s">
        <v>949</v>
      </c>
      <c r="H71" s="133" t="s">
        <v>949</v>
      </c>
      <c r="I71" s="133" t="s">
        <v>934</v>
      </c>
      <c r="J71" s="133" t="s">
        <v>935</v>
      </c>
      <c r="K71" s="133" t="s">
        <v>730</v>
      </c>
      <c r="L71" s="133" t="s">
        <v>724</v>
      </c>
      <c r="M71" s="133" t="s">
        <v>724</v>
      </c>
      <c r="N71" s="133" t="s">
        <v>735</v>
      </c>
      <c r="O71" s="133" t="s">
        <v>744</v>
      </c>
      <c r="P71" s="133" t="s">
        <v>745</v>
      </c>
      <c r="Q71" s="133" t="s">
        <v>718</v>
      </c>
      <c r="R71" s="133" t="s">
        <v>718</v>
      </c>
      <c r="S71" s="133">
        <v>1</v>
      </c>
      <c r="T71" s="133">
        <v>2</v>
      </c>
      <c r="U71" s="131">
        <v>2</v>
      </c>
      <c r="V71" s="133">
        <v>2026</v>
      </c>
      <c r="W71" s="140">
        <v>46112</v>
      </c>
      <c r="X71" s="141" t="s">
        <v>937</v>
      </c>
      <c r="Y71" s="133"/>
      <c r="Z71" s="131"/>
      <c r="AA71" s="181">
        <v>11</v>
      </c>
      <c r="AB71" s="131"/>
      <c r="AC71" s="131"/>
      <c r="AD71" s="131"/>
      <c r="AE71" s="154">
        <v>46023</v>
      </c>
      <c r="AF71" s="154">
        <v>46112</v>
      </c>
      <c r="AG71" s="95"/>
      <c r="AH71" s="95"/>
      <c r="AI71" s="95"/>
      <c r="AJ71" s="95"/>
      <c r="AK71" s="95"/>
      <c r="AL71" s="95"/>
      <c r="AM71" s="162"/>
      <c r="AN71" s="162"/>
      <c r="AO71" s="162"/>
      <c r="AP71" s="166">
        <v>8282</v>
      </c>
      <c r="AQ71" s="166">
        <v>19945</v>
      </c>
      <c r="AR71" s="166">
        <f t="shared" si="2"/>
        <v>11</v>
      </c>
      <c r="AS71" s="169">
        <f t="shared" si="3"/>
        <v>88</v>
      </c>
      <c r="AT71" s="168" t="s">
        <v>950</v>
      </c>
    </row>
    <row r="72" s="116" customFormat="1" ht="42.75" hidden="1" spans="1:46">
      <c r="A72" s="131" t="s">
        <v>722</v>
      </c>
      <c r="B72" s="131" t="s">
        <v>734</v>
      </c>
      <c r="C72" s="131" t="s">
        <v>735</v>
      </c>
      <c r="D72" s="133" t="s">
        <v>747</v>
      </c>
      <c r="E72" s="133" t="s">
        <v>932</v>
      </c>
      <c r="F72" s="133" t="s">
        <v>749</v>
      </c>
      <c r="G72" s="133" t="s">
        <v>951</v>
      </c>
      <c r="H72" s="133" t="s">
        <v>952</v>
      </c>
      <c r="I72" s="133" t="s">
        <v>934</v>
      </c>
      <c r="J72" s="133" t="s">
        <v>935</v>
      </c>
      <c r="K72" s="133" t="s">
        <v>730</v>
      </c>
      <c r="L72" s="133" t="s">
        <v>724</v>
      </c>
      <c r="M72" s="133" t="s">
        <v>724</v>
      </c>
      <c r="N72" s="133" t="s">
        <v>735</v>
      </c>
      <c r="O72" s="133" t="s">
        <v>744</v>
      </c>
      <c r="P72" s="133" t="s">
        <v>940</v>
      </c>
      <c r="Q72" s="133" t="s">
        <v>718</v>
      </c>
      <c r="R72" s="133" t="s">
        <v>718</v>
      </c>
      <c r="S72" s="133">
        <v>1</v>
      </c>
      <c r="T72" s="133">
        <v>2</v>
      </c>
      <c r="U72" s="131">
        <v>2</v>
      </c>
      <c r="V72" s="133">
        <v>2026</v>
      </c>
      <c r="W72" s="140">
        <v>46112</v>
      </c>
      <c r="X72" s="141" t="s">
        <v>937</v>
      </c>
      <c r="Y72" s="133"/>
      <c r="Z72" s="131"/>
      <c r="AA72" s="131">
        <v>15</v>
      </c>
      <c r="AB72" s="131"/>
      <c r="AC72" s="131"/>
      <c r="AD72" s="131"/>
      <c r="AE72" s="154">
        <v>46023</v>
      </c>
      <c r="AF72" s="154">
        <v>46112</v>
      </c>
      <c r="AG72" s="95"/>
      <c r="AH72" s="95"/>
      <c r="AI72" s="95"/>
      <c r="AJ72" s="95"/>
      <c r="AK72" s="95"/>
      <c r="AL72" s="95"/>
      <c r="AM72" s="162"/>
      <c r="AN72" s="162"/>
      <c r="AO72" s="162"/>
      <c r="AP72" s="166">
        <v>8283</v>
      </c>
      <c r="AQ72" s="166">
        <v>19946</v>
      </c>
      <c r="AR72" s="166">
        <f t="shared" si="2"/>
        <v>15</v>
      </c>
      <c r="AS72" s="169">
        <f t="shared" si="3"/>
        <v>120</v>
      </c>
      <c r="AT72" s="168"/>
    </row>
    <row r="73" s="116" customFormat="1" ht="42.75" hidden="1" spans="1:46">
      <c r="A73" s="131" t="s">
        <v>722</v>
      </c>
      <c r="B73" s="131" t="s">
        <v>734</v>
      </c>
      <c r="C73" s="131" t="s">
        <v>735</v>
      </c>
      <c r="D73" s="133" t="s">
        <v>747</v>
      </c>
      <c r="E73" s="133" t="s">
        <v>932</v>
      </c>
      <c r="F73" s="133" t="s">
        <v>749</v>
      </c>
      <c r="G73" s="133" t="s">
        <v>951</v>
      </c>
      <c r="H73" s="133" t="s">
        <v>953</v>
      </c>
      <c r="I73" s="133" t="s">
        <v>934</v>
      </c>
      <c r="J73" s="133" t="s">
        <v>935</v>
      </c>
      <c r="K73" s="133" t="s">
        <v>730</v>
      </c>
      <c r="L73" s="133" t="s">
        <v>724</v>
      </c>
      <c r="M73" s="133" t="s">
        <v>724</v>
      </c>
      <c r="N73" s="133" t="s">
        <v>735</v>
      </c>
      <c r="O73" s="133" t="s">
        <v>744</v>
      </c>
      <c r="P73" s="133" t="s">
        <v>745</v>
      </c>
      <c r="Q73" s="133" t="s">
        <v>718</v>
      </c>
      <c r="R73" s="133" t="s">
        <v>718</v>
      </c>
      <c r="S73" s="133">
        <v>1</v>
      </c>
      <c r="T73" s="133">
        <v>2</v>
      </c>
      <c r="U73" s="131">
        <v>2</v>
      </c>
      <c r="V73" s="133">
        <v>2026</v>
      </c>
      <c r="W73" s="140">
        <v>46112</v>
      </c>
      <c r="X73" s="141" t="s">
        <v>937</v>
      </c>
      <c r="Y73" s="133"/>
      <c r="Z73" s="131"/>
      <c r="AA73" s="181">
        <v>15</v>
      </c>
      <c r="AB73" s="131"/>
      <c r="AC73" s="131"/>
      <c r="AD73" s="131"/>
      <c r="AE73" s="154">
        <v>46023</v>
      </c>
      <c r="AF73" s="154">
        <v>46112</v>
      </c>
      <c r="AG73" s="95"/>
      <c r="AH73" s="95"/>
      <c r="AI73" s="95"/>
      <c r="AJ73" s="95"/>
      <c r="AK73" s="95"/>
      <c r="AL73" s="95"/>
      <c r="AM73" s="162"/>
      <c r="AN73" s="162"/>
      <c r="AO73" s="162"/>
      <c r="AP73" s="166">
        <v>8284</v>
      </c>
      <c r="AQ73" s="166">
        <v>19947</v>
      </c>
      <c r="AR73" s="166">
        <f t="shared" si="2"/>
        <v>15</v>
      </c>
      <c r="AS73" s="169">
        <f t="shared" si="3"/>
        <v>120</v>
      </c>
      <c r="AT73" s="168" t="s">
        <v>943</v>
      </c>
    </row>
    <row r="74" s="116" customFormat="1" ht="42.75" hidden="1" spans="1:46">
      <c r="A74" s="131" t="s">
        <v>722</v>
      </c>
      <c r="B74" s="131" t="s">
        <v>734</v>
      </c>
      <c r="C74" s="131" t="s">
        <v>735</v>
      </c>
      <c r="D74" s="133" t="s">
        <v>747</v>
      </c>
      <c r="E74" s="133" t="s">
        <v>932</v>
      </c>
      <c r="F74" s="133" t="s">
        <v>749</v>
      </c>
      <c r="G74" s="133" t="s">
        <v>954</v>
      </c>
      <c r="H74" s="133" t="s">
        <v>954</v>
      </c>
      <c r="I74" s="133" t="s">
        <v>954</v>
      </c>
      <c r="J74" s="133" t="s">
        <v>935</v>
      </c>
      <c r="K74" s="133" t="s">
        <v>730</v>
      </c>
      <c r="L74" s="133" t="s">
        <v>724</v>
      </c>
      <c r="M74" s="133" t="s">
        <v>724</v>
      </c>
      <c r="N74" s="133" t="s">
        <v>735</v>
      </c>
      <c r="O74" s="133" t="s">
        <v>744</v>
      </c>
      <c r="P74" s="133" t="s">
        <v>940</v>
      </c>
      <c r="Q74" s="133" t="s">
        <v>718</v>
      </c>
      <c r="R74" s="133" t="s">
        <v>718</v>
      </c>
      <c r="S74" s="133">
        <v>1</v>
      </c>
      <c r="T74" s="133">
        <v>2</v>
      </c>
      <c r="U74" s="131">
        <v>2</v>
      </c>
      <c r="V74" s="133">
        <v>2026</v>
      </c>
      <c r="W74" s="140">
        <v>46112</v>
      </c>
      <c r="X74" s="141" t="s">
        <v>937</v>
      </c>
      <c r="Y74" s="133"/>
      <c r="Z74" s="131"/>
      <c r="AA74" s="131">
        <v>15</v>
      </c>
      <c r="AB74" s="131"/>
      <c r="AC74" s="131"/>
      <c r="AD74" s="131"/>
      <c r="AE74" s="154">
        <v>46023</v>
      </c>
      <c r="AF74" s="154">
        <v>46112</v>
      </c>
      <c r="AG74" s="95"/>
      <c r="AH74" s="95"/>
      <c r="AI74" s="95"/>
      <c r="AJ74" s="95"/>
      <c r="AK74" s="95"/>
      <c r="AL74" s="95"/>
      <c r="AM74" s="162"/>
      <c r="AN74" s="162"/>
      <c r="AO74" s="162"/>
      <c r="AP74" s="166">
        <v>8285</v>
      </c>
      <c r="AQ74" s="166">
        <v>19948</v>
      </c>
      <c r="AR74" s="166">
        <f t="shared" si="2"/>
        <v>15</v>
      </c>
      <c r="AS74" s="169">
        <f t="shared" si="3"/>
        <v>120</v>
      </c>
      <c r="AT74" s="168"/>
    </row>
    <row r="75" s="116" customFormat="1" ht="42.75" hidden="1" spans="1:46">
      <c r="A75" s="131" t="s">
        <v>722</v>
      </c>
      <c r="B75" s="131" t="s">
        <v>734</v>
      </c>
      <c r="C75" s="131" t="s">
        <v>735</v>
      </c>
      <c r="D75" s="133" t="s">
        <v>747</v>
      </c>
      <c r="E75" s="133" t="s">
        <v>932</v>
      </c>
      <c r="F75" s="133" t="s">
        <v>749</v>
      </c>
      <c r="G75" s="133" t="s">
        <v>955</v>
      </c>
      <c r="H75" s="133" t="s">
        <v>955</v>
      </c>
      <c r="I75" s="133" t="s">
        <v>955</v>
      </c>
      <c r="J75" s="133" t="s">
        <v>935</v>
      </c>
      <c r="K75" s="133" t="s">
        <v>730</v>
      </c>
      <c r="L75" s="133" t="s">
        <v>724</v>
      </c>
      <c r="M75" s="133" t="s">
        <v>724</v>
      </c>
      <c r="N75" s="133" t="s">
        <v>735</v>
      </c>
      <c r="O75" s="133" t="s">
        <v>744</v>
      </c>
      <c r="P75" s="133" t="s">
        <v>745</v>
      </c>
      <c r="Q75" s="133" t="s">
        <v>718</v>
      </c>
      <c r="R75" s="133" t="s">
        <v>718</v>
      </c>
      <c r="S75" s="133">
        <v>1</v>
      </c>
      <c r="T75" s="133">
        <v>2</v>
      </c>
      <c r="U75" s="131">
        <v>2</v>
      </c>
      <c r="V75" s="133">
        <v>2026</v>
      </c>
      <c r="W75" s="140">
        <v>46112</v>
      </c>
      <c r="X75" s="141" t="s">
        <v>937</v>
      </c>
      <c r="Y75" s="133"/>
      <c r="Z75" s="131"/>
      <c r="AA75" s="131">
        <v>5</v>
      </c>
      <c r="AB75" s="131"/>
      <c r="AC75" s="131"/>
      <c r="AD75" s="131"/>
      <c r="AE75" s="154">
        <v>46023</v>
      </c>
      <c r="AF75" s="154">
        <v>46112</v>
      </c>
      <c r="AG75" s="95"/>
      <c r="AH75" s="95"/>
      <c r="AI75" s="95"/>
      <c r="AJ75" s="95"/>
      <c r="AK75" s="95"/>
      <c r="AL75" s="95"/>
      <c r="AM75" s="162"/>
      <c r="AN75" s="162"/>
      <c r="AO75" s="162"/>
      <c r="AP75" s="166">
        <v>8286</v>
      </c>
      <c r="AQ75" s="166">
        <v>19949</v>
      </c>
      <c r="AR75" s="166">
        <f t="shared" si="2"/>
        <v>5</v>
      </c>
      <c r="AS75" s="169">
        <f t="shared" si="3"/>
        <v>40</v>
      </c>
      <c r="AT75" s="168"/>
    </row>
    <row r="76" s="116" customFormat="1" ht="99.75" hidden="1" spans="1:46">
      <c r="A76" s="131" t="s">
        <v>722</v>
      </c>
      <c r="B76" s="131" t="s">
        <v>734</v>
      </c>
      <c r="C76" s="131" t="s">
        <v>735</v>
      </c>
      <c r="D76" s="133" t="s">
        <v>736</v>
      </c>
      <c r="E76" s="133" t="s">
        <v>886</v>
      </c>
      <c r="F76" s="133" t="s">
        <v>749</v>
      </c>
      <c r="G76" s="133"/>
      <c r="H76" s="133" t="s">
        <v>956</v>
      </c>
      <c r="I76" s="133" t="s">
        <v>957</v>
      </c>
      <c r="J76" s="133" t="s">
        <v>958</v>
      </c>
      <c r="K76" s="133" t="s">
        <v>959</v>
      </c>
      <c r="L76" s="133" t="s">
        <v>724</v>
      </c>
      <c r="M76" s="133" t="s">
        <v>724</v>
      </c>
      <c r="N76" s="133" t="s">
        <v>735</v>
      </c>
      <c r="O76" s="133" t="s">
        <v>19</v>
      </c>
      <c r="P76" s="133" t="s">
        <v>960</v>
      </c>
      <c r="Q76" s="133" t="s">
        <v>717</v>
      </c>
      <c r="R76" s="133" t="s">
        <v>717</v>
      </c>
      <c r="S76" s="131" t="str">
        <f t="shared" ref="S76:U76" si="4">SUBSTITUTE(Q76,"P","")</f>
        <v>1</v>
      </c>
      <c r="T76" s="131" t="str">
        <f t="shared" si="4"/>
        <v>1</v>
      </c>
      <c r="U76" s="131" t="str">
        <f t="shared" si="4"/>
        <v>1</v>
      </c>
      <c r="V76" s="133">
        <v>2026</v>
      </c>
      <c r="W76" s="140">
        <v>45747</v>
      </c>
      <c r="X76" s="141" t="s">
        <v>891</v>
      </c>
      <c r="Y76" s="131"/>
      <c r="Z76" s="131">
        <v>2</v>
      </c>
      <c r="AA76" s="131"/>
      <c r="AB76" s="131"/>
      <c r="AC76" s="131"/>
      <c r="AD76" s="131"/>
      <c r="AE76" s="154">
        <v>46023</v>
      </c>
      <c r="AF76" s="154">
        <v>46112</v>
      </c>
      <c r="AG76" s="95"/>
      <c r="AH76" s="95"/>
      <c r="AI76" s="95"/>
      <c r="AJ76" s="95"/>
      <c r="AK76" s="95"/>
      <c r="AL76" s="95"/>
      <c r="AM76" s="162"/>
      <c r="AN76" s="162"/>
      <c r="AO76" s="162"/>
      <c r="AP76" s="166">
        <v>8182</v>
      </c>
      <c r="AQ76" s="166">
        <v>19963</v>
      </c>
      <c r="AR76" s="166">
        <f t="shared" si="2"/>
        <v>2</v>
      </c>
      <c r="AS76" s="169">
        <f t="shared" si="3"/>
        <v>16</v>
      </c>
      <c r="AT76" s="168"/>
    </row>
    <row r="77" s="116" customFormat="1" ht="99.75" hidden="1" spans="1:46">
      <c r="A77" s="131" t="s">
        <v>722</v>
      </c>
      <c r="B77" s="131" t="s">
        <v>734</v>
      </c>
      <c r="C77" s="131" t="s">
        <v>735</v>
      </c>
      <c r="D77" s="133" t="s">
        <v>736</v>
      </c>
      <c r="E77" s="133" t="s">
        <v>886</v>
      </c>
      <c r="F77" s="133" t="s">
        <v>749</v>
      </c>
      <c r="G77" s="133"/>
      <c r="H77" s="133" t="s">
        <v>961</v>
      </c>
      <c r="I77" s="133" t="s">
        <v>962</v>
      </c>
      <c r="J77" s="133" t="s">
        <v>963</v>
      </c>
      <c r="K77" s="133" t="s">
        <v>959</v>
      </c>
      <c r="L77" s="133" t="s">
        <v>724</v>
      </c>
      <c r="M77" s="133" t="s">
        <v>724</v>
      </c>
      <c r="N77" s="133" t="s">
        <v>735</v>
      </c>
      <c r="O77" s="133" t="s">
        <v>19</v>
      </c>
      <c r="P77" s="133" t="s">
        <v>960</v>
      </c>
      <c r="Q77" s="133" t="s">
        <v>717</v>
      </c>
      <c r="R77" s="133" t="s">
        <v>717</v>
      </c>
      <c r="S77" s="131" t="str">
        <f t="shared" ref="S77:U77" si="5">SUBSTITUTE(Q77,"P","")</f>
        <v>1</v>
      </c>
      <c r="T77" s="131" t="str">
        <f t="shared" si="5"/>
        <v>1</v>
      </c>
      <c r="U77" s="131" t="str">
        <f t="shared" si="5"/>
        <v>1</v>
      </c>
      <c r="V77" s="133">
        <v>2026</v>
      </c>
      <c r="W77" s="140">
        <v>45747</v>
      </c>
      <c r="X77" s="141" t="s">
        <v>891</v>
      </c>
      <c r="Y77" s="131"/>
      <c r="Z77" s="131">
        <v>3</v>
      </c>
      <c r="AA77" s="131"/>
      <c r="AB77" s="131"/>
      <c r="AC77" s="131"/>
      <c r="AD77" s="131"/>
      <c r="AE77" s="154">
        <v>46023</v>
      </c>
      <c r="AF77" s="154">
        <v>46112</v>
      </c>
      <c r="AG77" s="95"/>
      <c r="AH77" s="95"/>
      <c r="AI77" s="95"/>
      <c r="AJ77" s="95"/>
      <c r="AK77" s="95"/>
      <c r="AL77" s="95"/>
      <c r="AM77" s="162"/>
      <c r="AN77" s="162"/>
      <c r="AO77" s="162"/>
      <c r="AP77" s="166">
        <v>8183</v>
      </c>
      <c r="AQ77" s="166">
        <v>19964</v>
      </c>
      <c r="AR77" s="166">
        <f t="shared" si="2"/>
        <v>3</v>
      </c>
      <c r="AS77" s="169">
        <f t="shared" si="3"/>
        <v>24</v>
      </c>
      <c r="AT77" s="168"/>
    </row>
    <row r="78" s="116" customFormat="1" ht="99.75" hidden="1" spans="1:46">
      <c r="A78" s="131" t="s">
        <v>722</v>
      </c>
      <c r="B78" s="131" t="s">
        <v>734</v>
      </c>
      <c r="C78" s="131" t="s">
        <v>735</v>
      </c>
      <c r="D78" s="133" t="s">
        <v>736</v>
      </c>
      <c r="E78" s="133" t="s">
        <v>886</v>
      </c>
      <c r="F78" s="133" t="s">
        <v>749</v>
      </c>
      <c r="G78" s="133"/>
      <c r="H78" s="133" t="s">
        <v>964</v>
      </c>
      <c r="I78" s="133" t="s">
        <v>965</v>
      </c>
      <c r="J78" s="133" t="s">
        <v>966</v>
      </c>
      <c r="K78" s="133" t="s">
        <v>959</v>
      </c>
      <c r="L78" s="133" t="s">
        <v>724</v>
      </c>
      <c r="M78" s="133" t="s">
        <v>724</v>
      </c>
      <c r="N78" s="133" t="s">
        <v>735</v>
      </c>
      <c r="O78" s="133" t="s">
        <v>19</v>
      </c>
      <c r="P78" s="133" t="s">
        <v>960</v>
      </c>
      <c r="Q78" s="133" t="s">
        <v>717</v>
      </c>
      <c r="R78" s="133" t="s">
        <v>717</v>
      </c>
      <c r="S78" s="131" t="str">
        <f t="shared" ref="S78:U78" si="6">SUBSTITUTE(Q78,"P","")</f>
        <v>1</v>
      </c>
      <c r="T78" s="131" t="str">
        <f t="shared" si="6"/>
        <v>1</v>
      </c>
      <c r="U78" s="131" t="str">
        <f t="shared" si="6"/>
        <v>1</v>
      </c>
      <c r="V78" s="133">
        <v>2026</v>
      </c>
      <c r="W78" s="140">
        <v>45747</v>
      </c>
      <c r="X78" s="141" t="s">
        <v>891</v>
      </c>
      <c r="Y78" s="131"/>
      <c r="Z78" s="131">
        <v>5</v>
      </c>
      <c r="AA78" s="131"/>
      <c r="AB78" s="131"/>
      <c r="AC78" s="131"/>
      <c r="AD78" s="131"/>
      <c r="AE78" s="154">
        <v>46023</v>
      </c>
      <c r="AF78" s="154">
        <v>46112</v>
      </c>
      <c r="AG78" s="95"/>
      <c r="AH78" s="95"/>
      <c r="AI78" s="95"/>
      <c r="AJ78" s="95"/>
      <c r="AK78" s="95"/>
      <c r="AL78" s="95"/>
      <c r="AM78" s="162"/>
      <c r="AN78" s="162"/>
      <c r="AO78" s="162"/>
      <c r="AP78" s="166">
        <v>8185</v>
      </c>
      <c r="AQ78" s="166">
        <v>19966</v>
      </c>
      <c r="AR78" s="166">
        <f t="shared" si="2"/>
        <v>5</v>
      </c>
      <c r="AS78" s="169">
        <f t="shared" si="3"/>
        <v>40</v>
      </c>
      <c r="AT78" s="168"/>
    </row>
    <row r="79" s="116" customFormat="1" ht="99.75" hidden="1" spans="1:46">
      <c r="A79" s="131" t="s">
        <v>722</v>
      </c>
      <c r="B79" s="131" t="s">
        <v>734</v>
      </c>
      <c r="C79" s="131" t="s">
        <v>735</v>
      </c>
      <c r="D79" s="133" t="s">
        <v>736</v>
      </c>
      <c r="E79" s="133" t="s">
        <v>886</v>
      </c>
      <c r="F79" s="133" t="s">
        <v>749</v>
      </c>
      <c r="G79" s="133"/>
      <c r="H79" s="133" t="s">
        <v>967</v>
      </c>
      <c r="I79" s="133" t="s">
        <v>968</v>
      </c>
      <c r="J79" s="133" t="s">
        <v>969</v>
      </c>
      <c r="K79" s="133" t="s">
        <v>959</v>
      </c>
      <c r="L79" s="133" t="s">
        <v>724</v>
      </c>
      <c r="M79" s="133" t="s">
        <v>724</v>
      </c>
      <c r="N79" s="133" t="s">
        <v>735</v>
      </c>
      <c r="O79" s="133" t="s">
        <v>19</v>
      </c>
      <c r="P79" s="133" t="s">
        <v>960</v>
      </c>
      <c r="Q79" s="133" t="s">
        <v>717</v>
      </c>
      <c r="R79" s="133" t="s">
        <v>717</v>
      </c>
      <c r="S79" s="131" t="str">
        <f t="shared" ref="S79:U79" si="7">SUBSTITUTE(Q79,"P","")</f>
        <v>1</v>
      </c>
      <c r="T79" s="131" t="str">
        <f t="shared" si="7"/>
        <v>1</v>
      </c>
      <c r="U79" s="131" t="str">
        <f t="shared" si="7"/>
        <v>1</v>
      </c>
      <c r="V79" s="133">
        <v>2026</v>
      </c>
      <c r="W79" s="140">
        <v>45747</v>
      </c>
      <c r="X79" s="141" t="s">
        <v>891</v>
      </c>
      <c r="Y79" s="131"/>
      <c r="Z79" s="131">
        <v>3</v>
      </c>
      <c r="AA79" s="131"/>
      <c r="AB79" s="131"/>
      <c r="AC79" s="131"/>
      <c r="AD79" s="131"/>
      <c r="AE79" s="154">
        <v>46023</v>
      </c>
      <c r="AF79" s="154">
        <v>46112</v>
      </c>
      <c r="AG79" s="95"/>
      <c r="AH79" s="95"/>
      <c r="AI79" s="95"/>
      <c r="AJ79" s="95"/>
      <c r="AK79" s="95"/>
      <c r="AL79" s="95"/>
      <c r="AM79" s="162"/>
      <c r="AN79" s="162"/>
      <c r="AO79" s="162"/>
      <c r="AP79" s="166">
        <v>8186</v>
      </c>
      <c r="AQ79" s="166">
        <v>19967</v>
      </c>
      <c r="AR79" s="166">
        <f t="shared" si="2"/>
        <v>3</v>
      </c>
      <c r="AS79" s="169">
        <f t="shared" si="3"/>
        <v>24</v>
      </c>
      <c r="AT79" s="168"/>
    </row>
    <row r="80" s="116" customFormat="1" ht="99.75" hidden="1" spans="1:46">
      <c r="A80" s="131" t="s">
        <v>722</v>
      </c>
      <c r="B80" s="131" t="s">
        <v>734</v>
      </c>
      <c r="C80" s="131" t="s">
        <v>735</v>
      </c>
      <c r="D80" s="133" t="s">
        <v>736</v>
      </c>
      <c r="E80" s="133" t="s">
        <v>886</v>
      </c>
      <c r="F80" s="133" t="s">
        <v>749</v>
      </c>
      <c r="G80" s="133"/>
      <c r="H80" s="133" t="s">
        <v>970</v>
      </c>
      <c r="I80" s="133" t="s">
        <v>971</v>
      </c>
      <c r="J80" s="133" t="s">
        <v>972</v>
      </c>
      <c r="K80" s="133" t="s">
        <v>959</v>
      </c>
      <c r="L80" s="133" t="s">
        <v>724</v>
      </c>
      <c r="M80" s="133" t="s">
        <v>724</v>
      </c>
      <c r="N80" s="133" t="s">
        <v>735</v>
      </c>
      <c r="O80" s="133" t="s">
        <v>19</v>
      </c>
      <c r="P80" s="133" t="s">
        <v>960</v>
      </c>
      <c r="Q80" s="133" t="s">
        <v>717</v>
      </c>
      <c r="R80" s="133" t="s">
        <v>717</v>
      </c>
      <c r="S80" s="131" t="str">
        <f t="shared" ref="S80:U80" si="8">SUBSTITUTE(Q80,"P","")</f>
        <v>1</v>
      </c>
      <c r="T80" s="131" t="str">
        <f t="shared" si="8"/>
        <v>1</v>
      </c>
      <c r="U80" s="131" t="str">
        <f t="shared" si="8"/>
        <v>1</v>
      </c>
      <c r="V80" s="133">
        <v>2026</v>
      </c>
      <c r="W80" s="140">
        <v>45747</v>
      </c>
      <c r="X80" s="141" t="s">
        <v>891</v>
      </c>
      <c r="Y80" s="131"/>
      <c r="Z80" s="131">
        <v>4</v>
      </c>
      <c r="AA80" s="131"/>
      <c r="AB80" s="131"/>
      <c r="AC80" s="131"/>
      <c r="AD80" s="131"/>
      <c r="AE80" s="154">
        <v>46023</v>
      </c>
      <c r="AF80" s="154">
        <v>46112</v>
      </c>
      <c r="AG80" s="95"/>
      <c r="AH80" s="95"/>
      <c r="AI80" s="95"/>
      <c r="AJ80" s="95"/>
      <c r="AK80" s="95"/>
      <c r="AL80" s="95"/>
      <c r="AM80" s="162"/>
      <c r="AN80" s="162"/>
      <c r="AO80" s="162"/>
      <c r="AP80" s="166">
        <v>8188</v>
      </c>
      <c r="AQ80" s="166">
        <v>19969</v>
      </c>
      <c r="AR80" s="166">
        <f t="shared" ref="AR80:AR109" si="9">SUM(Y80:AD80)</f>
        <v>4</v>
      </c>
      <c r="AS80" s="169">
        <f t="shared" ref="AS80:AS109" si="10">AR80*8</f>
        <v>32</v>
      </c>
      <c r="AT80" s="168"/>
    </row>
    <row r="81" s="116" customFormat="1" ht="270.75" hidden="1" spans="1:46">
      <c r="A81" s="131" t="s">
        <v>722</v>
      </c>
      <c r="B81" s="131" t="s">
        <v>734</v>
      </c>
      <c r="C81" s="131" t="s">
        <v>735</v>
      </c>
      <c r="D81" s="133" t="s">
        <v>736</v>
      </c>
      <c r="E81" s="133" t="s">
        <v>886</v>
      </c>
      <c r="F81" s="133" t="s">
        <v>749</v>
      </c>
      <c r="G81" s="133"/>
      <c r="H81" s="133" t="s">
        <v>973</v>
      </c>
      <c r="I81" s="133" t="s">
        <v>974</v>
      </c>
      <c r="J81" s="133" t="s">
        <v>975</v>
      </c>
      <c r="K81" s="133" t="s">
        <v>959</v>
      </c>
      <c r="L81" s="133" t="s">
        <v>724</v>
      </c>
      <c r="M81" s="133" t="s">
        <v>724</v>
      </c>
      <c r="N81" s="133" t="s">
        <v>735</v>
      </c>
      <c r="O81" s="133" t="s">
        <v>19</v>
      </c>
      <c r="P81" s="133" t="s">
        <v>960</v>
      </c>
      <c r="Q81" s="133" t="s">
        <v>717</v>
      </c>
      <c r="R81" s="133" t="s">
        <v>717</v>
      </c>
      <c r="S81" s="131" t="str">
        <f t="shared" ref="S81:U81" si="11">SUBSTITUTE(Q81,"P","")</f>
        <v>1</v>
      </c>
      <c r="T81" s="131" t="str">
        <f t="shared" si="11"/>
        <v>1</v>
      </c>
      <c r="U81" s="131" t="str">
        <f t="shared" si="11"/>
        <v>1</v>
      </c>
      <c r="V81" s="133">
        <v>2026</v>
      </c>
      <c r="W81" s="140">
        <v>45747</v>
      </c>
      <c r="X81" s="141" t="s">
        <v>891</v>
      </c>
      <c r="Y81" s="131"/>
      <c r="Z81" s="131">
        <v>6</v>
      </c>
      <c r="AA81" s="131"/>
      <c r="AB81" s="131"/>
      <c r="AC81" s="131"/>
      <c r="AD81" s="131"/>
      <c r="AE81" s="154">
        <v>46023</v>
      </c>
      <c r="AF81" s="154">
        <v>46112</v>
      </c>
      <c r="AG81" s="95"/>
      <c r="AH81" s="95"/>
      <c r="AI81" s="95"/>
      <c r="AJ81" s="95"/>
      <c r="AK81" s="95"/>
      <c r="AL81" s="95"/>
      <c r="AM81" s="162"/>
      <c r="AN81" s="162"/>
      <c r="AO81" s="162"/>
      <c r="AP81" s="166">
        <v>8189</v>
      </c>
      <c r="AQ81" s="166">
        <v>19970</v>
      </c>
      <c r="AR81" s="166">
        <f t="shared" si="9"/>
        <v>6</v>
      </c>
      <c r="AS81" s="169">
        <f t="shared" si="10"/>
        <v>48</v>
      </c>
      <c r="AT81" s="168"/>
    </row>
    <row r="82" s="116" customFormat="1" ht="99.75" hidden="1" spans="1:46">
      <c r="A82" s="131" t="s">
        <v>722</v>
      </c>
      <c r="B82" s="131" t="s">
        <v>734</v>
      </c>
      <c r="C82" s="131" t="s">
        <v>735</v>
      </c>
      <c r="D82" s="133" t="s">
        <v>736</v>
      </c>
      <c r="E82" s="133" t="s">
        <v>886</v>
      </c>
      <c r="F82" s="133" t="s">
        <v>749</v>
      </c>
      <c r="G82" s="133"/>
      <c r="H82" s="133" t="s">
        <v>976</v>
      </c>
      <c r="I82" s="133" t="s">
        <v>976</v>
      </c>
      <c r="J82" s="133" t="s">
        <v>977</v>
      </c>
      <c r="K82" s="133" t="s">
        <v>959</v>
      </c>
      <c r="L82" s="133" t="s">
        <v>724</v>
      </c>
      <c r="M82" s="133" t="s">
        <v>724</v>
      </c>
      <c r="N82" s="133" t="s">
        <v>735</v>
      </c>
      <c r="O82" s="133" t="s">
        <v>19</v>
      </c>
      <c r="P82" s="133" t="s">
        <v>960</v>
      </c>
      <c r="Q82" s="133" t="s">
        <v>717</v>
      </c>
      <c r="R82" s="133" t="s">
        <v>717</v>
      </c>
      <c r="S82" s="131" t="str">
        <f t="shared" ref="S82:U82" si="12">SUBSTITUTE(Q82,"P","")</f>
        <v>1</v>
      </c>
      <c r="T82" s="131" t="str">
        <f t="shared" si="12"/>
        <v>1</v>
      </c>
      <c r="U82" s="131" t="str">
        <f t="shared" si="12"/>
        <v>1</v>
      </c>
      <c r="V82" s="133">
        <v>2026</v>
      </c>
      <c r="W82" s="140">
        <v>45747</v>
      </c>
      <c r="X82" s="141" t="s">
        <v>891</v>
      </c>
      <c r="Y82" s="131"/>
      <c r="Z82" s="131">
        <v>5</v>
      </c>
      <c r="AA82" s="131"/>
      <c r="AB82" s="131"/>
      <c r="AC82" s="131"/>
      <c r="AD82" s="131"/>
      <c r="AE82" s="154">
        <v>46023</v>
      </c>
      <c r="AF82" s="154">
        <v>46112</v>
      </c>
      <c r="AG82" s="95"/>
      <c r="AH82" s="95"/>
      <c r="AI82" s="95"/>
      <c r="AJ82" s="95"/>
      <c r="AK82" s="95"/>
      <c r="AL82" s="95"/>
      <c r="AM82" s="162"/>
      <c r="AN82" s="162"/>
      <c r="AO82" s="162"/>
      <c r="AP82" s="166">
        <v>8190</v>
      </c>
      <c r="AQ82" s="166">
        <v>19971</v>
      </c>
      <c r="AR82" s="166">
        <f t="shared" si="9"/>
        <v>5</v>
      </c>
      <c r="AS82" s="169">
        <f t="shared" si="10"/>
        <v>40</v>
      </c>
      <c r="AT82" s="168"/>
    </row>
    <row r="83" s="116" customFormat="1" ht="99.75" hidden="1" spans="1:46">
      <c r="A83" s="131" t="s">
        <v>722</v>
      </c>
      <c r="B83" s="131" t="s">
        <v>734</v>
      </c>
      <c r="C83" s="131" t="s">
        <v>735</v>
      </c>
      <c r="D83" s="133" t="s">
        <v>736</v>
      </c>
      <c r="E83" s="133" t="s">
        <v>886</v>
      </c>
      <c r="F83" s="133" t="s">
        <v>749</v>
      </c>
      <c r="G83" s="133"/>
      <c r="H83" s="133" t="s">
        <v>978</v>
      </c>
      <c r="I83" s="133" t="s">
        <v>979</v>
      </c>
      <c r="J83" s="133" t="s">
        <v>980</v>
      </c>
      <c r="K83" s="133" t="s">
        <v>959</v>
      </c>
      <c r="L83" s="133" t="s">
        <v>724</v>
      </c>
      <c r="M83" s="133" t="s">
        <v>724</v>
      </c>
      <c r="N83" s="133" t="s">
        <v>735</v>
      </c>
      <c r="O83" s="133" t="s">
        <v>19</v>
      </c>
      <c r="P83" s="133" t="s">
        <v>960</v>
      </c>
      <c r="Q83" s="133" t="s">
        <v>717</v>
      </c>
      <c r="R83" s="133" t="s">
        <v>717</v>
      </c>
      <c r="S83" s="131" t="str">
        <f t="shared" ref="S83:U83" si="13">SUBSTITUTE(Q83,"P","")</f>
        <v>1</v>
      </c>
      <c r="T83" s="131" t="str">
        <f t="shared" si="13"/>
        <v>1</v>
      </c>
      <c r="U83" s="131" t="str">
        <f t="shared" si="13"/>
        <v>1</v>
      </c>
      <c r="V83" s="133">
        <v>2026</v>
      </c>
      <c r="W83" s="140">
        <v>45747</v>
      </c>
      <c r="X83" s="141" t="s">
        <v>891</v>
      </c>
      <c r="Y83" s="131"/>
      <c r="Z83" s="131">
        <v>6</v>
      </c>
      <c r="AA83" s="131"/>
      <c r="AB83" s="131"/>
      <c r="AC83" s="131"/>
      <c r="AD83" s="131"/>
      <c r="AE83" s="154">
        <v>46023</v>
      </c>
      <c r="AF83" s="154">
        <v>46112</v>
      </c>
      <c r="AG83" s="95"/>
      <c r="AH83" s="95"/>
      <c r="AI83" s="95"/>
      <c r="AJ83" s="95"/>
      <c r="AK83" s="95"/>
      <c r="AL83" s="95"/>
      <c r="AM83" s="162"/>
      <c r="AN83" s="162"/>
      <c r="AO83" s="162"/>
      <c r="AP83" s="166">
        <v>8191</v>
      </c>
      <c r="AQ83" s="166">
        <v>19972</v>
      </c>
      <c r="AR83" s="166">
        <f t="shared" si="9"/>
        <v>6</v>
      </c>
      <c r="AS83" s="169">
        <f t="shared" si="10"/>
        <v>48</v>
      </c>
      <c r="AT83" s="168"/>
    </row>
    <row r="84" s="116" customFormat="1" ht="99.75" hidden="1" spans="1:46">
      <c r="A84" s="131" t="s">
        <v>722</v>
      </c>
      <c r="B84" s="131" t="s">
        <v>734</v>
      </c>
      <c r="C84" s="131" t="s">
        <v>735</v>
      </c>
      <c r="D84" s="133" t="s">
        <v>736</v>
      </c>
      <c r="E84" s="133" t="s">
        <v>886</v>
      </c>
      <c r="F84" s="133" t="s">
        <v>749</v>
      </c>
      <c r="G84" s="133"/>
      <c r="H84" s="133" t="s">
        <v>981</v>
      </c>
      <c r="I84" s="133" t="s">
        <v>982</v>
      </c>
      <c r="J84" s="133" t="s">
        <v>983</v>
      </c>
      <c r="K84" s="133" t="s">
        <v>959</v>
      </c>
      <c r="L84" s="133" t="s">
        <v>724</v>
      </c>
      <c r="M84" s="133" t="s">
        <v>724</v>
      </c>
      <c r="N84" s="133" t="s">
        <v>735</v>
      </c>
      <c r="O84" s="133" t="s">
        <v>19</v>
      </c>
      <c r="P84" s="133" t="s">
        <v>960</v>
      </c>
      <c r="Q84" s="133" t="s">
        <v>717</v>
      </c>
      <c r="R84" s="133" t="s">
        <v>717</v>
      </c>
      <c r="S84" s="131" t="str">
        <f t="shared" ref="S84:U84" si="14">SUBSTITUTE(Q84,"P","")</f>
        <v>1</v>
      </c>
      <c r="T84" s="131" t="str">
        <f t="shared" si="14"/>
        <v>1</v>
      </c>
      <c r="U84" s="131" t="str">
        <f t="shared" si="14"/>
        <v>1</v>
      </c>
      <c r="V84" s="133">
        <v>2026</v>
      </c>
      <c r="W84" s="140">
        <v>45747</v>
      </c>
      <c r="X84" s="141" t="s">
        <v>891</v>
      </c>
      <c r="Y84" s="131"/>
      <c r="Z84" s="131">
        <v>3</v>
      </c>
      <c r="AA84" s="131"/>
      <c r="AB84" s="131"/>
      <c r="AC84" s="131"/>
      <c r="AD84" s="131"/>
      <c r="AE84" s="154">
        <v>46023</v>
      </c>
      <c r="AF84" s="154">
        <v>46112</v>
      </c>
      <c r="AG84" s="95"/>
      <c r="AH84" s="95"/>
      <c r="AI84" s="95"/>
      <c r="AJ84" s="95"/>
      <c r="AK84" s="95"/>
      <c r="AL84" s="95"/>
      <c r="AM84" s="162"/>
      <c r="AN84" s="162"/>
      <c r="AO84" s="162"/>
      <c r="AP84" s="166">
        <v>8192</v>
      </c>
      <c r="AQ84" s="166">
        <v>19973</v>
      </c>
      <c r="AR84" s="166">
        <f t="shared" si="9"/>
        <v>3</v>
      </c>
      <c r="AS84" s="169">
        <f t="shared" si="10"/>
        <v>24</v>
      </c>
      <c r="AT84" s="168"/>
    </row>
    <row r="85" s="116" customFormat="1" ht="99.75" hidden="1" spans="1:46">
      <c r="A85" s="131" t="s">
        <v>722</v>
      </c>
      <c r="B85" s="131" t="s">
        <v>734</v>
      </c>
      <c r="C85" s="131" t="s">
        <v>735</v>
      </c>
      <c r="D85" s="133" t="s">
        <v>736</v>
      </c>
      <c r="E85" s="133" t="s">
        <v>886</v>
      </c>
      <c r="F85" s="133" t="s">
        <v>749</v>
      </c>
      <c r="G85" s="133"/>
      <c r="H85" s="133" t="s">
        <v>984</v>
      </c>
      <c r="I85" s="133" t="s">
        <v>985</v>
      </c>
      <c r="J85" s="133" t="s">
        <v>986</v>
      </c>
      <c r="K85" s="133" t="s">
        <v>959</v>
      </c>
      <c r="L85" s="133" t="s">
        <v>724</v>
      </c>
      <c r="M85" s="133" t="s">
        <v>724</v>
      </c>
      <c r="N85" s="133" t="s">
        <v>735</v>
      </c>
      <c r="O85" s="133" t="s">
        <v>19</v>
      </c>
      <c r="P85" s="133" t="s">
        <v>960</v>
      </c>
      <c r="Q85" s="133" t="s">
        <v>717</v>
      </c>
      <c r="R85" s="133" t="s">
        <v>717</v>
      </c>
      <c r="S85" s="131" t="str">
        <f t="shared" ref="S85:U85" si="15">SUBSTITUTE(Q85,"P","")</f>
        <v>1</v>
      </c>
      <c r="T85" s="131" t="str">
        <f t="shared" si="15"/>
        <v>1</v>
      </c>
      <c r="U85" s="131" t="str">
        <f t="shared" si="15"/>
        <v>1</v>
      </c>
      <c r="V85" s="133">
        <v>2026</v>
      </c>
      <c r="W85" s="140">
        <v>45747</v>
      </c>
      <c r="X85" s="141" t="s">
        <v>891</v>
      </c>
      <c r="Y85" s="131"/>
      <c r="Z85" s="131">
        <v>5</v>
      </c>
      <c r="AA85" s="131"/>
      <c r="AB85" s="131"/>
      <c r="AC85" s="131"/>
      <c r="AD85" s="131"/>
      <c r="AE85" s="154">
        <v>46023</v>
      </c>
      <c r="AF85" s="154">
        <v>46112</v>
      </c>
      <c r="AG85" s="95"/>
      <c r="AH85" s="95"/>
      <c r="AI85" s="95"/>
      <c r="AJ85" s="95"/>
      <c r="AK85" s="95"/>
      <c r="AL85" s="95"/>
      <c r="AM85" s="162"/>
      <c r="AN85" s="162"/>
      <c r="AO85" s="162"/>
      <c r="AP85" s="166">
        <v>8193</v>
      </c>
      <c r="AQ85" s="166">
        <v>19974</v>
      </c>
      <c r="AR85" s="166">
        <f t="shared" si="9"/>
        <v>5</v>
      </c>
      <c r="AS85" s="169">
        <f t="shared" si="10"/>
        <v>40</v>
      </c>
      <c r="AT85" s="168"/>
    </row>
    <row r="86" s="116" customFormat="1" ht="99.75" hidden="1" spans="1:46">
      <c r="A86" s="131" t="s">
        <v>722</v>
      </c>
      <c r="B86" s="131" t="s">
        <v>734</v>
      </c>
      <c r="C86" s="131" t="s">
        <v>735</v>
      </c>
      <c r="D86" s="133" t="s">
        <v>736</v>
      </c>
      <c r="E86" s="133" t="s">
        <v>886</v>
      </c>
      <c r="F86" s="133" t="s">
        <v>749</v>
      </c>
      <c r="G86" s="133"/>
      <c r="H86" s="133" t="s">
        <v>987</v>
      </c>
      <c r="I86" s="133" t="s">
        <v>988</v>
      </c>
      <c r="J86" s="133" t="s">
        <v>989</v>
      </c>
      <c r="K86" s="133" t="s">
        <v>959</v>
      </c>
      <c r="L86" s="133" t="s">
        <v>724</v>
      </c>
      <c r="M86" s="133" t="s">
        <v>724</v>
      </c>
      <c r="N86" s="133" t="s">
        <v>735</v>
      </c>
      <c r="O86" s="133" t="s">
        <v>19</v>
      </c>
      <c r="P86" s="133" t="s">
        <v>960</v>
      </c>
      <c r="Q86" s="133" t="s">
        <v>717</v>
      </c>
      <c r="R86" s="133" t="s">
        <v>717</v>
      </c>
      <c r="S86" s="131" t="str">
        <f t="shared" ref="S86:U86" si="16">SUBSTITUTE(Q86,"P","")</f>
        <v>1</v>
      </c>
      <c r="T86" s="131" t="str">
        <f t="shared" si="16"/>
        <v>1</v>
      </c>
      <c r="U86" s="131" t="str">
        <f t="shared" si="16"/>
        <v>1</v>
      </c>
      <c r="V86" s="133">
        <v>2026</v>
      </c>
      <c r="W86" s="140">
        <v>45747</v>
      </c>
      <c r="X86" s="141" t="s">
        <v>891</v>
      </c>
      <c r="Y86" s="131"/>
      <c r="Z86" s="131">
        <v>2</v>
      </c>
      <c r="AA86" s="131"/>
      <c r="AB86" s="131"/>
      <c r="AC86" s="131"/>
      <c r="AD86" s="131"/>
      <c r="AE86" s="154">
        <v>46023</v>
      </c>
      <c r="AF86" s="154">
        <v>46112</v>
      </c>
      <c r="AG86" s="95"/>
      <c r="AH86" s="95"/>
      <c r="AI86" s="95"/>
      <c r="AJ86" s="95"/>
      <c r="AK86" s="95"/>
      <c r="AL86" s="95"/>
      <c r="AM86" s="162"/>
      <c r="AN86" s="162"/>
      <c r="AO86" s="162"/>
      <c r="AP86" s="166">
        <v>8194</v>
      </c>
      <c r="AQ86" s="166">
        <v>19975</v>
      </c>
      <c r="AR86" s="166">
        <f t="shared" si="9"/>
        <v>2</v>
      </c>
      <c r="AS86" s="169">
        <f t="shared" si="10"/>
        <v>16</v>
      </c>
      <c r="AT86" s="168"/>
    </row>
    <row r="87" s="116" customFormat="1" ht="99.75" hidden="1" spans="1:46">
      <c r="A87" s="131" t="s">
        <v>722</v>
      </c>
      <c r="B87" s="131" t="s">
        <v>734</v>
      </c>
      <c r="C87" s="131" t="s">
        <v>735</v>
      </c>
      <c r="D87" s="133" t="s">
        <v>736</v>
      </c>
      <c r="E87" s="133" t="s">
        <v>886</v>
      </c>
      <c r="F87" s="133" t="s">
        <v>749</v>
      </c>
      <c r="G87" s="133"/>
      <c r="H87" s="133" t="s">
        <v>990</v>
      </c>
      <c r="I87" s="133" t="s">
        <v>991</v>
      </c>
      <c r="J87" s="133" t="s">
        <v>992</v>
      </c>
      <c r="K87" s="133" t="s">
        <v>959</v>
      </c>
      <c r="L87" s="133" t="s">
        <v>724</v>
      </c>
      <c r="M87" s="133" t="s">
        <v>724</v>
      </c>
      <c r="N87" s="133" t="s">
        <v>735</v>
      </c>
      <c r="O87" s="133" t="s">
        <v>19</v>
      </c>
      <c r="P87" s="133" t="s">
        <v>960</v>
      </c>
      <c r="Q87" s="133" t="s">
        <v>717</v>
      </c>
      <c r="R87" s="133" t="s">
        <v>717</v>
      </c>
      <c r="S87" s="131" t="str">
        <f t="shared" ref="S87:U87" si="17">SUBSTITUTE(Q87,"P","")</f>
        <v>1</v>
      </c>
      <c r="T87" s="131" t="str">
        <f t="shared" si="17"/>
        <v>1</v>
      </c>
      <c r="U87" s="131" t="str">
        <f t="shared" si="17"/>
        <v>1</v>
      </c>
      <c r="V87" s="133">
        <v>2026</v>
      </c>
      <c r="W87" s="140">
        <v>45747</v>
      </c>
      <c r="X87" s="141" t="s">
        <v>891</v>
      </c>
      <c r="Y87" s="131"/>
      <c r="Z87" s="131">
        <v>2</v>
      </c>
      <c r="AA87" s="131"/>
      <c r="AB87" s="131"/>
      <c r="AC87" s="131"/>
      <c r="AD87" s="131"/>
      <c r="AE87" s="154">
        <v>46023</v>
      </c>
      <c r="AF87" s="154">
        <v>46112</v>
      </c>
      <c r="AG87" s="95"/>
      <c r="AH87" s="95"/>
      <c r="AI87" s="95"/>
      <c r="AJ87" s="95"/>
      <c r="AK87" s="95"/>
      <c r="AL87" s="95"/>
      <c r="AM87" s="162"/>
      <c r="AN87" s="162"/>
      <c r="AO87" s="162"/>
      <c r="AP87" s="166">
        <v>8195</v>
      </c>
      <c r="AQ87" s="166">
        <v>19976</v>
      </c>
      <c r="AR87" s="166">
        <f t="shared" si="9"/>
        <v>2</v>
      </c>
      <c r="AS87" s="169">
        <f t="shared" si="10"/>
        <v>16</v>
      </c>
      <c r="AT87" s="168"/>
    </row>
    <row r="88" s="116" customFormat="1" ht="99.75" hidden="1" spans="1:46">
      <c r="A88" s="131" t="s">
        <v>722</v>
      </c>
      <c r="B88" s="131" t="s">
        <v>734</v>
      </c>
      <c r="C88" s="131" t="s">
        <v>735</v>
      </c>
      <c r="D88" s="133" t="s">
        <v>736</v>
      </c>
      <c r="E88" s="133" t="s">
        <v>886</v>
      </c>
      <c r="F88" s="133" t="s">
        <v>749</v>
      </c>
      <c r="G88" s="133"/>
      <c r="H88" s="133" t="s">
        <v>993</v>
      </c>
      <c r="I88" s="133" t="s">
        <v>994</v>
      </c>
      <c r="J88" s="133" t="s">
        <v>995</v>
      </c>
      <c r="K88" s="133" t="s">
        <v>959</v>
      </c>
      <c r="L88" s="133" t="s">
        <v>724</v>
      </c>
      <c r="M88" s="133" t="s">
        <v>724</v>
      </c>
      <c r="N88" s="133" t="s">
        <v>735</v>
      </c>
      <c r="O88" s="133" t="s">
        <v>19</v>
      </c>
      <c r="P88" s="133" t="s">
        <v>960</v>
      </c>
      <c r="Q88" s="133" t="s">
        <v>717</v>
      </c>
      <c r="R88" s="133" t="s">
        <v>717</v>
      </c>
      <c r="S88" s="131" t="str">
        <f t="shared" ref="S88:U88" si="18">SUBSTITUTE(Q88,"P","")</f>
        <v>1</v>
      </c>
      <c r="T88" s="131" t="str">
        <f t="shared" si="18"/>
        <v>1</v>
      </c>
      <c r="U88" s="131" t="str">
        <f t="shared" si="18"/>
        <v>1</v>
      </c>
      <c r="V88" s="133">
        <v>2026</v>
      </c>
      <c r="W88" s="140">
        <v>45747</v>
      </c>
      <c r="X88" s="141" t="s">
        <v>891</v>
      </c>
      <c r="Y88" s="131"/>
      <c r="Z88" s="131">
        <v>2</v>
      </c>
      <c r="AA88" s="131"/>
      <c r="AB88" s="131"/>
      <c r="AC88" s="131"/>
      <c r="AD88" s="131"/>
      <c r="AE88" s="154">
        <v>46023</v>
      </c>
      <c r="AF88" s="154">
        <v>46112</v>
      </c>
      <c r="AG88" s="95"/>
      <c r="AH88" s="95"/>
      <c r="AI88" s="95"/>
      <c r="AJ88" s="95"/>
      <c r="AK88" s="95"/>
      <c r="AL88" s="95"/>
      <c r="AM88" s="162"/>
      <c r="AN88" s="162"/>
      <c r="AO88" s="162"/>
      <c r="AP88" s="166">
        <v>8196</v>
      </c>
      <c r="AQ88" s="166">
        <v>19977</v>
      </c>
      <c r="AR88" s="166">
        <f t="shared" si="9"/>
        <v>2</v>
      </c>
      <c r="AS88" s="169">
        <f t="shared" si="10"/>
        <v>16</v>
      </c>
      <c r="AT88" s="168"/>
    </row>
    <row r="89" s="116" customFormat="1" ht="99.75" hidden="1" spans="1:46">
      <c r="A89" s="131" t="s">
        <v>722</v>
      </c>
      <c r="B89" s="131" t="s">
        <v>734</v>
      </c>
      <c r="C89" s="131" t="s">
        <v>735</v>
      </c>
      <c r="D89" s="133" t="s">
        <v>736</v>
      </c>
      <c r="E89" s="133" t="s">
        <v>886</v>
      </c>
      <c r="F89" s="133" t="s">
        <v>749</v>
      </c>
      <c r="G89" s="133"/>
      <c r="H89" s="133" t="s">
        <v>996</v>
      </c>
      <c r="I89" s="133" t="s">
        <v>997</v>
      </c>
      <c r="J89" s="133" t="s">
        <v>998</v>
      </c>
      <c r="K89" s="133" t="s">
        <v>959</v>
      </c>
      <c r="L89" s="133" t="s">
        <v>724</v>
      </c>
      <c r="M89" s="133" t="s">
        <v>724</v>
      </c>
      <c r="N89" s="133" t="s">
        <v>735</v>
      </c>
      <c r="O89" s="133" t="s">
        <v>19</v>
      </c>
      <c r="P89" s="133" t="s">
        <v>960</v>
      </c>
      <c r="Q89" s="133" t="s">
        <v>717</v>
      </c>
      <c r="R89" s="133" t="s">
        <v>717</v>
      </c>
      <c r="S89" s="131" t="str">
        <f t="shared" ref="S89:U89" si="19">SUBSTITUTE(Q89,"P","")</f>
        <v>1</v>
      </c>
      <c r="T89" s="131" t="str">
        <f t="shared" si="19"/>
        <v>1</v>
      </c>
      <c r="U89" s="131" t="str">
        <f t="shared" si="19"/>
        <v>1</v>
      </c>
      <c r="V89" s="133">
        <v>2026</v>
      </c>
      <c r="W89" s="140">
        <v>45747</v>
      </c>
      <c r="X89" s="141" t="s">
        <v>891</v>
      </c>
      <c r="Y89" s="131"/>
      <c r="Z89" s="131">
        <v>1</v>
      </c>
      <c r="AA89" s="131"/>
      <c r="AB89" s="131"/>
      <c r="AC89" s="131"/>
      <c r="AD89" s="131"/>
      <c r="AE89" s="154">
        <v>46023</v>
      </c>
      <c r="AF89" s="154">
        <v>46112</v>
      </c>
      <c r="AG89" s="95"/>
      <c r="AH89" s="95"/>
      <c r="AI89" s="95"/>
      <c r="AJ89" s="95"/>
      <c r="AK89" s="95"/>
      <c r="AL89" s="95"/>
      <c r="AM89" s="162"/>
      <c r="AN89" s="162"/>
      <c r="AO89" s="162"/>
      <c r="AP89" s="166">
        <v>8197</v>
      </c>
      <c r="AQ89" s="166">
        <v>19978</v>
      </c>
      <c r="AR89" s="166">
        <f t="shared" si="9"/>
        <v>1</v>
      </c>
      <c r="AS89" s="169">
        <f t="shared" si="10"/>
        <v>8</v>
      </c>
      <c r="AT89" s="168"/>
    </row>
    <row r="90" s="116" customFormat="1" ht="99.75" hidden="1" spans="1:46">
      <c r="A90" s="131" t="s">
        <v>722</v>
      </c>
      <c r="B90" s="131" t="s">
        <v>734</v>
      </c>
      <c r="C90" s="131" t="s">
        <v>735</v>
      </c>
      <c r="D90" s="133" t="s">
        <v>736</v>
      </c>
      <c r="E90" s="133" t="s">
        <v>886</v>
      </c>
      <c r="F90" s="133" t="s">
        <v>749</v>
      </c>
      <c r="G90" s="133"/>
      <c r="H90" s="133" t="s">
        <v>999</v>
      </c>
      <c r="I90" s="133" t="s">
        <v>1000</v>
      </c>
      <c r="J90" s="133" t="s">
        <v>1001</v>
      </c>
      <c r="K90" s="133" t="s">
        <v>959</v>
      </c>
      <c r="L90" s="133" t="s">
        <v>724</v>
      </c>
      <c r="M90" s="133" t="s">
        <v>724</v>
      </c>
      <c r="N90" s="133" t="s">
        <v>735</v>
      </c>
      <c r="O90" s="133" t="s">
        <v>19</v>
      </c>
      <c r="P90" s="133" t="s">
        <v>960</v>
      </c>
      <c r="Q90" s="133" t="s">
        <v>717</v>
      </c>
      <c r="R90" s="133" t="s">
        <v>717</v>
      </c>
      <c r="S90" s="131" t="str">
        <f t="shared" ref="S90:U90" si="20">SUBSTITUTE(Q90,"P","")</f>
        <v>1</v>
      </c>
      <c r="T90" s="131" t="str">
        <f t="shared" si="20"/>
        <v>1</v>
      </c>
      <c r="U90" s="131" t="str">
        <f t="shared" si="20"/>
        <v>1</v>
      </c>
      <c r="V90" s="133">
        <v>2026</v>
      </c>
      <c r="W90" s="140">
        <v>45747</v>
      </c>
      <c r="X90" s="141" t="s">
        <v>891</v>
      </c>
      <c r="Y90" s="131"/>
      <c r="Z90" s="131">
        <v>2</v>
      </c>
      <c r="AA90" s="131"/>
      <c r="AB90" s="131"/>
      <c r="AC90" s="131"/>
      <c r="AD90" s="131"/>
      <c r="AE90" s="154">
        <v>46023</v>
      </c>
      <c r="AF90" s="154">
        <v>46112</v>
      </c>
      <c r="AG90" s="95"/>
      <c r="AH90" s="95"/>
      <c r="AI90" s="95"/>
      <c r="AJ90" s="95"/>
      <c r="AK90" s="95"/>
      <c r="AL90" s="95"/>
      <c r="AM90" s="162"/>
      <c r="AN90" s="162"/>
      <c r="AO90" s="162"/>
      <c r="AP90" s="166">
        <v>8198</v>
      </c>
      <c r="AQ90" s="166">
        <v>19979</v>
      </c>
      <c r="AR90" s="166">
        <f t="shared" si="9"/>
        <v>2</v>
      </c>
      <c r="AS90" s="169">
        <f t="shared" si="10"/>
        <v>16</v>
      </c>
      <c r="AT90" s="168"/>
    </row>
    <row r="91" s="116" customFormat="1" ht="99.75" hidden="1" spans="1:46">
      <c r="A91" s="131" t="s">
        <v>722</v>
      </c>
      <c r="B91" s="131" t="s">
        <v>734</v>
      </c>
      <c r="C91" s="131" t="s">
        <v>735</v>
      </c>
      <c r="D91" s="133" t="s">
        <v>736</v>
      </c>
      <c r="E91" s="133" t="s">
        <v>886</v>
      </c>
      <c r="F91" s="133" t="s">
        <v>749</v>
      </c>
      <c r="G91" s="133"/>
      <c r="H91" s="133" t="s">
        <v>1002</v>
      </c>
      <c r="I91" s="133" t="s">
        <v>1002</v>
      </c>
      <c r="J91" s="133" t="s">
        <v>1003</v>
      </c>
      <c r="K91" s="133" t="s">
        <v>959</v>
      </c>
      <c r="L91" s="133" t="s">
        <v>724</v>
      </c>
      <c r="M91" s="133" t="s">
        <v>724</v>
      </c>
      <c r="N91" s="133" t="s">
        <v>735</v>
      </c>
      <c r="O91" s="133" t="s">
        <v>19</v>
      </c>
      <c r="P91" s="133" t="s">
        <v>960</v>
      </c>
      <c r="Q91" s="133" t="s">
        <v>717</v>
      </c>
      <c r="R91" s="133" t="s">
        <v>717</v>
      </c>
      <c r="S91" s="131" t="str">
        <f t="shared" ref="S91:U91" si="21">SUBSTITUTE(Q91,"P","")</f>
        <v>1</v>
      </c>
      <c r="T91" s="131" t="str">
        <f t="shared" si="21"/>
        <v>1</v>
      </c>
      <c r="U91" s="131" t="str">
        <f t="shared" si="21"/>
        <v>1</v>
      </c>
      <c r="V91" s="133">
        <v>2026</v>
      </c>
      <c r="W91" s="140">
        <v>45747</v>
      </c>
      <c r="X91" s="141" t="s">
        <v>891</v>
      </c>
      <c r="Y91" s="131"/>
      <c r="Z91" s="131">
        <v>1</v>
      </c>
      <c r="AA91" s="131"/>
      <c r="AB91" s="131"/>
      <c r="AC91" s="131"/>
      <c r="AD91" s="131"/>
      <c r="AE91" s="154">
        <v>46023</v>
      </c>
      <c r="AF91" s="154">
        <v>46112</v>
      </c>
      <c r="AG91" s="95"/>
      <c r="AH91" s="95"/>
      <c r="AI91" s="95"/>
      <c r="AJ91" s="95"/>
      <c r="AK91" s="95"/>
      <c r="AL91" s="95"/>
      <c r="AM91" s="162"/>
      <c r="AN91" s="162"/>
      <c r="AO91" s="162"/>
      <c r="AP91" s="166">
        <v>8199</v>
      </c>
      <c r="AQ91" s="166">
        <v>19980</v>
      </c>
      <c r="AR91" s="166">
        <f t="shared" si="9"/>
        <v>1</v>
      </c>
      <c r="AS91" s="169">
        <f t="shared" si="10"/>
        <v>8</v>
      </c>
      <c r="AT91" s="168"/>
    </row>
    <row r="92" s="116" customFormat="1" ht="99.75" hidden="1" spans="1:46">
      <c r="A92" s="131" t="s">
        <v>722</v>
      </c>
      <c r="B92" s="131" t="s">
        <v>723</v>
      </c>
      <c r="C92" s="131" t="s">
        <v>735</v>
      </c>
      <c r="D92" s="133" t="s">
        <v>736</v>
      </c>
      <c r="E92" s="133" t="s">
        <v>886</v>
      </c>
      <c r="F92" s="133" t="s">
        <v>749</v>
      </c>
      <c r="G92" s="133"/>
      <c r="H92" s="133" t="s">
        <v>1004</v>
      </c>
      <c r="I92" s="133" t="s">
        <v>1005</v>
      </c>
      <c r="J92" s="133" t="s">
        <v>1006</v>
      </c>
      <c r="K92" s="133" t="s">
        <v>959</v>
      </c>
      <c r="L92" s="133" t="s">
        <v>724</v>
      </c>
      <c r="M92" s="133" t="s">
        <v>724</v>
      </c>
      <c r="N92" s="133" t="s">
        <v>735</v>
      </c>
      <c r="O92" s="133" t="s">
        <v>19</v>
      </c>
      <c r="P92" s="133" t="s">
        <v>960</v>
      </c>
      <c r="Q92" s="133" t="s">
        <v>717</v>
      </c>
      <c r="R92" s="133" t="s">
        <v>717</v>
      </c>
      <c r="S92" s="131" t="str">
        <f t="shared" ref="S92:U92" si="22">SUBSTITUTE(Q92,"P","")</f>
        <v>1</v>
      </c>
      <c r="T92" s="131" t="str">
        <f t="shared" si="22"/>
        <v>1</v>
      </c>
      <c r="U92" s="131" t="str">
        <f t="shared" si="22"/>
        <v>1</v>
      </c>
      <c r="V92" s="133">
        <v>2026</v>
      </c>
      <c r="W92" s="140">
        <v>45747</v>
      </c>
      <c r="X92" s="141" t="s">
        <v>891</v>
      </c>
      <c r="Y92" s="131"/>
      <c r="Z92" s="131">
        <v>2</v>
      </c>
      <c r="AA92" s="131"/>
      <c r="AB92" s="131"/>
      <c r="AC92" s="131"/>
      <c r="AD92" s="131"/>
      <c r="AE92" s="154">
        <v>46023</v>
      </c>
      <c r="AF92" s="154">
        <v>46112</v>
      </c>
      <c r="AG92" s="95"/>
      <c r="AH92" s="95"/>
      <c r="AI92" s="95"/>
      <c r="AJ92" s="95"/>
      <c r="AK92" s="95"/>
      <c r="AL92" s="95"/>
      <c r="AM92" s="162"/>
      <c r="AN92" s="162"/>
      <c r="AO92" s="162"/>
      <c r="AP92" s="166">
        <v>8200</v>
      </c>
      <c r="AQ92" s="166">
        <v>19981</v>
      </c>
      <c r="AR92" s="166">
        <f t="shared" si="9"/>
        <v>2</v>
      </c>
      <c r="AS92" s="169">
        <f t="shared" si="10"/>
        <v>16</v>
      </c>
      <c r="AT92" s="168"/>
    </row>
    <row r="93" s="116" customFormat="1" ht="99.75" hidden="1" spans="1:46">
      <c r="A93" s="131" t="s">
        <v>722</v>
      </c>
      <c r="B93" s="131" t="s">
        <v>723</v>
      </c>
      <c r="C93" s="131" t="s">
        <v>735</v>
      </c>
      <c r="D93" s="133" t="s">
        <v>736</v>
      </c>
      <c r="E93" s="133" t="s">
        <v>886</v>
      </c>
      <c r="F93" s="133" t="s">
        <v>749</v>
      </c>
      <c r="G93" s="133"/>
      <c r="H93" s="133" t="s">
        <v>1007</v>
      </c>
      <c r="I93" s="133" t="s">
        <v>1008</v>
      </c>
      <c r="J93" s="133" t="s">
        <v>1009</v>
      </c>
      <c r="K93" s="133" t="s">
        <v>959</v>
      </c>
      <c r="L93" s="133" t="s">
        <v>724</v>
      </c>
      <c r="M93" s="133" t="s">
        <v>724</v>
      </c>
      <c r="N93" s="133" t="s">
        <v>735</v>
      </c>
      <c r="O93" s="133" t="s">
        <v>19</v>
      </c>
      <c r="P93" s="133" t="s">
        <v>960</v>
      </c>
      <c r="Q93" s="133" t="s">
        <v>717</v>
      </c>
      <c r="R93" s="133" t="s">
        <v>717</v>
      </c>
      <c r="S93" s="131" t="str">
        <f t="shared" ref="S93:U93" si="23">SUBSTITUTE(Q93,"P","")</f>
        <v>1</v>
      </c>
      <c r="T93" s="131" t="str">
        <f t="shared" si="23"/>
        <v>1</v>
      </c>
      <c r="U93" s="131" t="str">
        <f t="shared" si="23"/>
        <v>1</v>
      </c>
      <c r="V93" s="133">
        <v>2026</v>
      </c>
      <c r="W93" s="140">
        <v>45747</v>
      </c>
      <c r="X93" s="141" t="s">
        <v>891</v>
      </c>
      <c r="Y93" s="131"/>
      <c r="Z93" s="131">
        <v>1</v>
      </c>
      <c r="AA93" s="131"/>
      <c r="AB93" s="131"/>
      <c r="AC93" s="131"/>
      <c r="AD93" s="131"/>
      <c r="AE93" s="154">
        <v>46023</v>
      </c>
      <c r="AF93" s="154">
        <v>46112</v>
      </c>
      <c r="AG93" s="95"/>
      <c r="AH93" s="95"/>
      <c r="AI93" s="95"/>
      <c r="AJ93" s="95"/>
      <c r="AK93" s="95"/>
      <c r="AL93" s="95"/>
      <c r="AM93" s="162"/>
      <c r="AN93" s="162"/>
      <c r="AO93" s="162"/>
      <c r="AP93" s="166">
        <v>8201</v>
      </c>
      <c r="AQ93" s="166">
        <v>19982</v>
      </c>
      <c r="AR93" s="166">
        <f t="shared" si="9"/>
        <v>1</v>
      </c>
      <c r="AS93" s="169">
        <f t="shared" si="10"/>
        <v>8</v>
      </c>
      <c r="AT93" s="168"/>
    </row>
    <row r="94" s="116" customFormat="1" ht="99.75" hidden="1" spans="1:46">
      <c r="A94" s="131" t="s">
        <v>722</v>
      </c>
      <c r="B94" s="131" t="s">
        <v>723</v>
      </c>
      <c r="C94" s="131" t="s">
        <v>735</v>
      </c>
      <c r="D94" s="133" t="s">
        <v>736</v>
      </c>
      <c r="E94" s="133" t="s">
        <v>886</v>
      </c>
      <c r="F94" s="133" t="s">
        <v>749</v>
      </c>
      <c r="G94" s="133"/>
      <c r="H94" s="133" t="s">
        <v>1010</v>
      </c>
      <c r="I94" s="133" t="s">
        <v>1011</v>
      </c>
      <c r="J94" s="133" t="s">
        <v>1012</v>
      </c>
      <c r="K94" s="133" t="s">
        <v>959</v>
      </c>
      <c r="L94" s="133" t="s">
        <v>724</v>
      </c>
      <c r="M94" s="133" t="s">
        <v>724</v>
      </c>
      <c r="N94" s="133" t="s">
        <v>735</v>
      </c>
      <c r="O94" s="133" t="s">
        <v>19</v>
      </c>
      <c r="P94" s="133" t="s">
        <v>960</v>
      </c>
      <c r="Q94" s="133" t="s">
        <v>717</v>
      </c>
      <c r="R94" s="133" t="s">
        <v>717</v>
      </c>
      <c r="S94" s="131" t="str">
        <f t="shared" ref="S94:U94" si="24">SUBSTITUTE(Q94,"P","")</f>
        <v>1</v>
      </c>
      <c r="T94" s="131" t="str">
        <f t="shared" si="24"/>
        <v>1</v>
      </c>
      <c r="U94" s="131" t="str">
        <f t="shared" si="24"/>
        <v>1</v>
      </c>
      <c r="V94" s="133">
        <v>2026</v>
      </c>
      <c r="W94" s="140">
        <v>45747</v>
      </c>
      <c r="X94" s="141" t="s">
        <v>891</v>
      </c>
      <c r="Y94" s="131"/>
      <c r="Z94" s="131">
        <v>1</v>
      </c>
      <c r="AA94" s="131"/>
      <c r="AB94" s="131"/>
      <c r="AC94" s="131"/>
      <c r="AD94" s="131"/>
      <c r="AE94" s="154">
        <v>46023</v>
      </c>
      <c r="AF94" s="154">
        <v>46112</v>
      </c>
      <c r="AG94" s="95"/>
      <c r="AH94" s="95"/>
      <c r="AI94" s="95"/>
      <c r="AJ94" s="95"/>
      <c r="AK94" s="95"/>
      <c r="AL94" s="95"/>
      <c r="AM94" s="162"/>
      <c r="AN94" s="162"/>
      <c r="AO94" s="162"/>
      <c r="AP94" s="166">
        <v>8202</v>
      </c>
      <c r="AQ94" s="166">
        <v>19983</v>
      </c>
      <c r="AR94" s="166">
        <f t="shared" si="9"/>
        <v>1</v>
      </c>
      <c r="AS94" s="169">
        <f t="shared" si="10"/>
        <v>8</v>
      </c>
      <c r="AT94" s="168"/>
    </row>
    <row r="95" s="116" customFormat="1" ht="99.75" hidden="1" spans="1:46">
      <c r="A95" s="131" t="s">
        <v>722</v>
      </c>
      <c r="B95" s="131" t="s">
        <v>723</v>
      </c>
      <c r="C95" s="131" t="s">
        <v>735</v>
      </c>
      <c r="D95" s="133" t="s">
        <v>736</v>
      </c>
      <c r="E95" s="133" t="s">
        <v>886</v>
      </c>
      <c r="F95" s="133" t="s">
        <v>749</v>
      </c>
      <c r="G95" s="133"/>
      <c r="H95" s="133" t="s">
        <v>1013</v>
      </c>
      <c r="I95" s="133" t="s">
        <v>1013</v>
      </c>
      <c r="J95" s="133" t="s">
        <v>1014</v>
      </c>
      <c r="K95" s="133" t="s">
        <v>959</v>
      </c>
      <c r="L95" s="133" t="s">
        <v>724</v>
      </c>
      <c r="M95" s="133" t="s">
        <v>724</v>
      </c>
      <c r="N95" s="133" t="s">
        <v>735</v>
      </c>
      <c r="O95" s="133" t="s">
        <v>19</v>
      </c>
      <c r="P95" s="133" t="s">
        <v>960</v>
      </c>
      <c r="Q95" s="133" t="s">
        <v>717</v>
      </c>
      <c r="R95" s="133" t="s">
        <v>717</v>
      </c>
      <c r="S95" s="131" t="str">
        <f t="shared" ref="S95:U95" si="25">SUBSTITUTE(Q95,"P","")</f>
        <v>1</v>
      </c>
      <c r="T95" s="131" t="str">
        <f t="shared" si="25"/>
        <v>1</v>
      </c>
      <c r="U95" s="131" t="str">
        <f t="shared" si="25"/>
        <v>1</v>
      </c>
      <c r="V95" s="133">
        <v>2026</v>
      </c>
      <c r="W95" s="140">
        <v>45747</v>
      </c>
      <c r="X95" s="141" t="s">
        <v>891</v>
      </c>
      <c r="Y95" s="131"/>
      <c r="Z95" s="131">
        <v>1</v>
      </c>
      <c r="AA95" s="131"/>
      <c r="AB95" s="131"/>
      <c r="AC95" s="131"/>
      <c r="AD95" s="131"/>
      <c r="AE95" s="154">
        <v>46023</v>
      </c>
      <c r="AF95" s="154">
        <v>46112</v>
      </c>
      <c r="AG95" s="95"/>
      <c r="AH95" s="95"/>
      <c r="AI95" s="95"/>
      <c r="AJ95" s="95"/>
      <c r="AK95" s="95"/>
      <c r="AL95" s="95"/>
      <c r="AM95" s="162"/>
      <c r="AN95" s="162"/>
      <c r="AO95" s="162"/>
      <c r="AP95" s="166">
        <v>8208</v>
      </c>
      <c r="AQ95" s="166">
        <v>19989</v>
      </c>
      <c r="AR95" s="166">
        <f t="shared" si="9"/>
        <v>1</v>
      </c>
      <c r="AS95" s="169">
        <f t="shared" si="10"/>
        <v>8</v>
      </c>
      <c r="AT95" s="168"/>
    </row>
    <row r="96" s="116" customFormat="1" ht="99.75" hidden="1" spans="1:46">
      <c r="A96" s="131" t="s">
        <v>722</v>
      </c>
      <c r="B96" s="131" t="s">
        <v>723</v>
      </c>
      <c r="C96" s="131" t="s">
        <v>735</v>
      </c>
      <c r="D96" s="133" t="s">
        <v>736</v>
      </c>
      <c r="E96" s="133" t="s">
        <v>886</v>
      </c>
      <c r="F96" s="133" t="s">
        <v>749</v>
      </c>
      <c r="G96" s="133"/>
      <c r="H96" s="133" t="s">
        <v>1015</v>
      </c>
      <c r="I96" s="133" t="s">
        <v>1015</v>
      </c>
      <c r="J96" s="133" t="s">
        <v>1016</v>
      </c>
      <c r="K96" s="133" t="s">
        <v>959</v>
      </c>
      <c r="L96" s="133" t="s">
        <v>724</v>
      </c>
      <c r="M96" s="133" t="s">
        <v>724</v>
      </c>
      <c r="N96" s="133" t="s">
        <v>735</v>
      </c>
      <c r="O96" s="133" t="s">
        <v>19</v>
      </c>
      <c r="P96" s="133" t="s">
        <v>960</v>
      </c>
      <c r="Q96" s="133" t="s">
        <v>717</v>
      </c>
      <c r="R96" s="133" t="s">
        <v>717</v>
      </c>
      <c r="S96" s="131" t="str">
        <f t="shared" ref="S96:U96" si="26">SUBSTITUTE(Q96,"P","")</f>
        <v>1</v>
      </c>
      <c r="T96" s="131" t="str">
        <f t="shared" si="26"/>
        <v>1</v>
      </c>
      <c r="U96" s="131" t="str">
        <f t="shared" si="26"/>
        <v>1</v>
      </c>
      <c r="V96" s="133">
        <v>2026</v>
      </c>
      <c r="W96" s="140">
        <v>45747</v>
      </c>
      <c r="X96" s="141" t="s">
        <v>891</v>
      </c>
      <c r="Y96" s="131"/>
      <c r="Z96" s="131">
        <v>2</v>
      </c>
      <c r="AA96" s="131"/>
      <c r="AB96" s="131"/>
      <c r="AC96" s="131"/>
      <c r="AD96" s="131"/>
      <c r="AE96" s="154">
        <v>46023</v>
      </c>
      <c r="AF96" s="154">
        <v>46112</v>
      </c>
      <c r="AG96" s="95"/>
      <c r="AH96" s="95"/>
      <c r="AI96" s="95"/>
      <c r="AJ96" s="95"/>
      <c r="AK96" s="95"/>
      <c r="AL96" s="95"/>
      <c r="AM96" s="162"/>
      <c r="AN96" s="162"/>
      <c r="AO96" s="162"/>
      <c r="AP96" s="166">
        <v>8209</v>
      </c>
      <c r="AQ96" s="166">
        <v>19990</v>
      </c>
      <c r="AR96" s="166">
        <f t="shared" si="9"/>
        <v>2</v>
      </c>
      <c r="AS96" s="169">
        <f t="shared" si="10"/>
        <v>16</v>
      </c>
      <c r="AT96" s="168"/>
    </row>
    <row r="97" s="116" customFormat="1" ht="57" spans="1:46">
      <c r="A97" s="131" t="s">
        <v>722</v>
      </c>
      <c r="B97" s="133" t="s">
        <v>734</v>
      </c>
      <c r="C97" s="133" t="s">
        <v>735</v>
      </c>
      <c r="D97" s="133" t="s">
        <v>736</v>
      </c>
      <c r="E97" s="133" t="s">
        <v>1017</v>
      </c>
      <c r="F97" s="133" t="s">
        <v>749</v>
      </c>
      <c r="G97" s="133"/>
      <c r="H97" s="133" t="s">
        <v>1018</v>
      </c>
      <c r="I97" s="133" t="s">
        <v>1019</v>
      </c>
      <c r="J97" s="139" t="s">
        <v>915</v>
      </c>
      <c r="K97" s="133" t="s">
        <v>1020</v>
      </c>
      <c r="L97" s="131" t="s">
        <v>724</v>
      </c>
      <c r="M97" s="131" t="s">
        <v>724</v>
      </c>
      <c r="N97" s="131" t="s">
        <v>735</v>
      </c>
      <c r="O97" s="133" t="s">
        <v>1021</v>
      </c>
      <c r="P97" s="133" t="s">
        <v>1022</v>
      </c>
      <c r="Q97" s="132" t="s">
        <v>717</v>
      </c>
      <c r="R97" s="132" t="s">
        <v>717</v>
      </c>
      <c r="S97" s="132">
        <v>1</v>
      </c>
      <c r="T97" s="132">
        <v>1</v>
      </c>
      <c r="U97" s="95">
        <v>1</v>
      </c>
      <c r="V97" s="133">
        <v>2026</v>
      </c>
      <c r="W97" s="140">
        <v>46112</v>
      </c>
      <c r="X97" s="141" t="s">
        <v>746</v>
      </c>
      <c r="Y97" s="95"/>
      <c r="Z97" s="95">
        <v>7</v>
      </c>
      <c r="AA97" s="95"/>
      <c r="AB97" s="95"/>
      <c r="AC97" s="95"/>
      <c r="AD97" s="95"/>
      <c r="AE97" s="156">
        <v>46023</v>
      </c>
      <c r="AF97" s="156">
        <v>45747</v>
      </c>
      <c r="AG97" s="187">
        <f>Y97</f>
        <v>0</v>
      </c>
      <c r="AH97" s="161">
        <f>IFERROR(IF($U97=1,Z97*$AA$1,IF($U97=2,Z97*$AA$2,IF($U97=3,Z97*$AA$3,IF($U97=4,Z97*$AA$4)))),0)</f>
        <v>7</v>
      </c>
      <c r="AI97" s="161">
        <f>IFERROR(IF($U97=1,AA97*$AA$1,IF($U97=2,AA97*$AA$2,IF($U97=3,AA97*$AA$3,IF($U97=4,AA97*$AA$4)))),0)</f>
        <v>0</v>
      </c>
      <c r="AJ97" s="161">
        <f>IF($U97=1,AB97*$AA$1,IF($U97=2,AB97*$AA$2,IF($U97=3,AB97*$AA$3,IF($U97=4,AB97*$AA$4))))</f>
        <v>0</v>
      </c>
      <c r="AK97" s="161">
        <f>IF($U97=1,AC97*$AA$1,IF($U97=2,AC97*$AA$2,IF($U97=3,AC97*$AA$3,IF($U97=4,AC97*$AA$4))))</f>
        <v>0</v>
      </c>
      <c r="AL97" s="161">
        <f>AD97</f>
        <v>0</v>
      </c>
      <c r="AM97" s="162"/>
      <c r="AN97" s="162"/>
      <c r="AO97" s="162"/>
      <c r="AP97" s="166">
        <v>8233</v>
      </c>
      <c r="AQ97" s="166">
        <v>20014</v>
      </c>
      <c r="AR97" s="166">
        <f t="shared" si="9"/>
        <v>7</v>
      </c>
      <c r="AS97" s="169">
        <f t="shared" si="10"/>
        <v>56</v>
      </c>
      <c r="AT97" s="168"/>
    </row>
    <row r="98" s="116" customFormat="1" ht="57" spans="1:46">
      <c r="A98" s="131" t="s">
        <v>722</v>
      </c>
      <c r="B98" s="133" t="s">
        <v>734</v>
      </c>
      <c r="C98" s="133" t="s">
        <v>735</v>
      </c>
      <c r="D98" s="133" t="s">
        <v>736</v>
      </c>
      <c r="E98" s="133" t="s">
        <v>1017</v>
      </c>
      <c r="F98" s="133" t="s">
        <v>749</v>
      </c>
      <c r="G98" s="133"/>
      <c r="H98" s="133" t="s">
        <v>1023</v>
      </c>
      <c r="I98" s="133" t="s">
        <v>1019</v>
      </c>
      <c r="J98" s="139" t="s">
        <v>915</v>
      </c>
      <c r="K98" s="133" t="s">
        <v>1020</v>
      </c>
      <c r="L98" s="131" t="s">
        <v>724</v>
      </c>
      <c r="M98" s="131" t="s">
        <v>724</v>
      </c>
      <c r="N98" s="131" t="s">
        <v>735</v>
      </c>
      <c r="O98" s="133" t="s">
        <v>1021</v>
      </c>
      <c r="P98" s="133" t="s">
        <v>1022</v>
      </c>
      <c r="Q98" s="132" t="s">
        <v>717</v>
      </c>
      <c r="R98" s="132" t="s">
        <v>717</v>
      </c>
      <c r="S98" s="132">
        <v>1</v>
      </c>
      <c r="T98" s="132">
        <v>1</v>
      </c>
      <c r="U98" s="95">
        <v>1</v>
      </c>
      <c r="V98" s="133">
        <v>2026</v>
      </c>
      <c r="W98" s="140">
        <v>46112</v>
      </c>
      <c r="X98" s="141" t="s">
        <v>746</v>
      </c>
      <c r="Y98" s="95"/>
      <c r="Z98" s="182">
        <v>5</v>
      </c>
      <c r="AA98" s="95"/>
      <c r="AB98" s="95"/>
      <c r="AC98" s="95"/>
      <c r="AD98" s="95"/>
      <c r="AE98" s="156">
        <v>46023</v>
      </c>
      <c r="AF98" s="156">
        <v>45747</v>
      </c>
      <c r="AG98" s="187">
        <f>Y98</f>
        <v>0</v>
      </c>
      <c r="AH98" s="161">
        <f>IFERROR(IF($U98=1,Z98*$AA$1,IF($U98=2,Z98*$AA$2,IF($U98=3,Z98*$AA$3,IF($U98=4,Z98*$AA$4)))),0)</f>
        <v>5</v>
      </c>
      <c r="AI98" s="161">
        <f>IFERROR(IF($U98=1,AA98*$AA$1,IF($U98=2,AA98*$AA$2,IF($U98=3,AA98*$AA$3,IF($U98=4,AA98*$AA$4)))),0)</f>
        <v>0</v>
      </c>
      <c r="AJ98" s="161">
        <f>IF($U98=1,AB98*$AA$1,IF($U98=2,AB98*$AA$2,IF($U98=3,AB98*$AA$3,IF($U98=4,AB98*$AA$4))))</f>
        <v>0</v>
      </c>
      <c r="AK98" s="161">
        <f>IF($U98=1,AC98*$AA$1,IF($U98=2,AC98*$AA$2,IF($U98=3,AC98*$AA$3,IF($U98=4,AC98*$AA$4))))</f>
        <v>0</v>
      </c>
      <c r="AL98" s="161">
        <f>AD98</f>
        <v>0</v>
      </c>
      <c r="AM98" s="162"/>
      <c r="AN98" s="162"/>
      <c r="AO98" s="162"/>
      <c r="AP98" s="166">
        <v>8234</v>
      </c>
      <c r="AQ98" s="166">
        <v>20015</v>
      </c>
      <c r="AR98" s="166">
        <f t="shared" si="9"/>
        <v>5</v>
      </c>
      <c r="AS98" s="169">
        <f t="shared" si="10"/>
        <v>40</v>
      </c>
      <c r="AT98" s="168" t="s">
        <v>1024</v>
      </c>
    </row>
    <row r="99" s="116" customFormat="1" ht="57" spans="1:46">
      <c r="A99" s="131" t="s">
        <v>722</v>
      </c>
      <c r="B99" s="133" t="s">
        <v>734</v>
      </c>
      <c r="C99" s="133" t="s">
        <v>735</v>
      </c>
      <c r="D99" s="133" t="s">
        <v>736</v>
      </c>
      <c r="E99" s="133" t="s">
        <v>1017</v>
      </c>
      <c r="F99" s="133" t="s">
        <v>749</v>
      </c>
      <c r="G99" s="133"/>
      <c r="H99" s="133" t="s">
        <v>165</v>
      </c>
      <c r="I99" s="133" t="s">
        <v>1019</v>
      </c>
      <c r="J99" s="139" t="s">
        <v>915</v>
      </c>
      <c r="K99" s="133" t="s">
        <v>1020</v>
      </c>
      <c r="L99" s="131" t="s">
        <v>724</v>
      </c>
      <c r="M99" s="131" t="s">
        <v>724</v>
      </c>
      <c r="N99" s="131" t="s">
        <v>735</v>
      </c>
      <c r="O99" s="133" t="s">
        <v>1021</v>
      </c>
      <c r="P99" s="133" t="s">
        <v>1022</v>
      </c>
      <c r="Q99" s="132" t="s">
        <v>717</v>
      </c>
      <c r="R99" s="132" t="s">
        <v>717</v>
      </c>
      <c r="S99" s="132">
        <v>1</v>
      </c>
      <c r="T99" s="132">
        <v>1</v>
      </c>
      <c r="U99" s="95">
        <v>1</v>
      </c>
      <c r="V99" s="133">
        <v>2026</v>
      </c>
      <c r="W99" s="140">
        <v>46112</v>
      </c>
      <c r="X99" s="141" t="s">
        <v>746</v>
      </c>
      <c r="Y99" s="95"/>
      <c r="Z99" s="95">
        <v>7</v>
      </c>
      <c r="AA99" s="95"/>
      <c r="AB99" s="95"/>
      <c r="AC99" s="95"/>
      <c r="AD99" s="95"/>
      <c r="AE99" s="156">
        <v>46023</v>
      </c>
      <c r="AF99" s="156">
        <v>45747</v>
      </c>
      <c r="AG99" s="187">
        <f>Y99</f>
        <v>0</v>
      </c>
      <c r="AH99" s="161">
        <v>10</v>
      </c>
      <c r="AI99" s="161">
        <f>IFERROR(IF($U99=1,AA99*$AA$1,IF($U99=2,AA99*$AA$2,IF($U99=3,AA99*$AA$3,IF($U99=4,AA99*$AA$4)))),0)</f>
        <v>0</v>
      </c>
      <c r="AJ99" s="161">
        <f>IF($U99=1,AB99*$AA$1,IF($U99=2,AB99*$AA$2,IF($U99=3,AB99*$AA$3,IF($U99=4,AB99*$AA$4))))</f>
        <v>0</v>
      </c>
      <c r="AK99" s="161">
        <f>IF($U99=1,AC99*$AA$1,IF($U99=2,AC99*$AA$2,IF($U99=3,AC99*$AA$3,IF($U99=4,AC99*$AA$4))))</f>
        <v>0</v>
      </c>
      <c r="AL99" s="161">
        <f>AD99</f>
        <v>0</v>
      </c>
      <c r="AM99" s="162"/>
      <c r="AN99" s="162"/>
      <c r="AO99" s="162"/>
      <c r="AP99" s="166">
        <v>8235</v>
      </c>
      <c r="AQ99" s="166">
        <v>20016</v>
      </c>
      <c r="AR99" s="166">
        <f t="shared" si="9"/>
        <v>7</v>
      </c>
      <c r="AS99" s="169">
        <f t="shared" si="10"/>
        <v>56</v>
      </c>
      <c r="AT99" s="168"/>
    </row>
    <row r="100" s="116" customFormat="1" ht="57" spans="1:46">
      <c r="A100" s="131" t="s">
        <v>722</v>
      </c>
      <c r="B100" s="133" t="s">
        <v>734</v>
      </c>
      <c r="C100" s="133" t="s">
        <v>735</v>
      </c>
      <c r="D100" s="133" t="s">
        <v>736</v>
      </c>
      <c r="E100" s="133" t="s">
        <v>1017</v>
      </c>
      <c r="F100" s="133" t="s">
        <v>749</v>
      </c>
      <c r="G100" s="133"/>
      <c r="H100" s="133" t="s">
        <v>1025</v>
      </c>
      <c r="I100" s="133" t="s">
        <v>1019</v>
      </c>
      <c r="J100" s="139" t="s">
        <v>915</v>
      </c>
      <c r="K100" s="133" t="s">
        <v>1020</v>
      </c>
      <c r="L100" s="131" t="s">
        <v>724</v>
      </c>
      <c r="M100" s="131" t="s">
        <v>724</v>
      </c>
      <c r="N100" s="131" t="s">
        <v>735</v>
      </c>
      <c r="O100" s="133" t="s">
        <v>1021</v>
      </c>
      <c r="P100" s="133" t="s">
        <v>1022</v>
      </c>
      <c r="Q100" s="132" t="s">
        <v>717</v>
      </c>
      <c r="R100" s="132" t="s">
        <v>717</v>
      </c>
      <c r="S100" s="132">
        <v>1</v>
      </c>
      <c r="T100" s="132">
        <v>1</v>
      </c>
      <c r="U100" s="95">
        <v>1</v>
      </c>
      <c r="V100" s="133">
        <v>2026</v>
      </c>
      <c r="W100" s="140">
        <v>46112</v>
      </c>
      <c r="X100" s="141" t="s">
        <v>746</v>
      </c>
      <c r="Y100" s="95"/>
      <c r="Z100" s="182">
        <v>25</v>
      </c>
      <c r="AA100" s="95"/>
      <c r="AB100" s="95"/>
      <c r="AC100" s="95"/>
      <c r="AD100" s="95"/>
      <c r="AE100" s="156">
        <v>46023</v>
      </c>
      <c r="AF100" s="156">
        <v>45747</v>
      </c>
      <c r="AG100" s="187">
        <f>Y100</f>
        <v>0</v>
      </c>
      <c r="AH100" s="161">
        <f>IFERROR(IF($U100=1,Z100*$AA$1,IF($U100=2,Z100*$AA$2,IF($U100=3,Z100*$AA$3,IF($U100=4,Z100*$AA$4)))),0)</f>
        <v>25</v>
      </c>
      <c r="AI100" s="161">
        <f>IFERROR(IF($U100=1,AA100*$AA$1,IF($U100=2,AA100*$AA$2,IF($U100=3,AA100*$AA$3,IF($U100=4,AA100*$AA$4)))),0)</f>
        <v>0</v>
      </c>
      <c r="AJ100" s="161">
        <f>IF($U100=1,AB100*$AA$1,IF($U100=2,AB100*$AA$2,IF($U100=3,AB100*$AA$3,IF($U100=4,AB100*$AA$4))))</f>
        <v>0</v>
      </c>
      <c r="AK100" s="161">
        <f>IF($U100=1,AC100*$AA$1,IF($U100=2,AC100*$AA$2,IF($U100=3,AC100*$AA$3,IF($U100=4,AC100*$AA$4))))</f>
        <v>0</v>
      </c>
      <c r="AL100" s="161">
        <f>AD100</f>
        <v>0</v>
      </c>
      <c r="AM100" s="162"/>
      <c r="AN100" s="162"/>
      <c r="AO100" s="162"/>
      <c r="AP100" s="166">
        <v>8238</v>
      </c>
      <c r="AQ100" s="166">
        <v>20019</v>
      </c>
      <c r="AR100" s="166">
        <f t="shared" si="9"/>
        <v>25</v>
      </c>
      <c r="AS100" s="169">
        <f t="shared" si="10"/>
        <v>200</v>
      </c>
      <c r="AT100" s="168" t="s">
        <v>1026</v>
      </c>
    </row>
    <row r="101" s="116" customFormat="1" ht="71.25" hidden="1" spans="1:46">
      <c r="A101" s="133" t="s">
        <v>825</v>
      </c>
      <c r="B101" s="133" t="s">
        <v>734</v>
      </c>
      <c r="C101" s="133" t="s">
        <v>724</v>
      </c>
      <c r="D101" s="133" t="s">
        <v>827</v>
      </c>
      <c r="E101" s="133" t="s">
        <v>827</v>
      </c>
      <c r="F101" s="133" t="s">
        <v>828</v>
      </c>
      <c r="G101" s="133" t="s">
        <v>829</v>
      </c>
      <c r="H101" s="133" t="s">
        <v>829</v>
      </c>
      <c r="I101" s="133" t="s">
        <v>830</v>
      </c>
      <c r="J101" s="133" t="s">
        <v>752</v>
      </c>
      <c r="K101" s="133" t="s">
        <v>730</v>
      </c>
      <c r="L101" s="133" t="s">
        <v>724</v>
      </c>
      <c r="M101" s="133" t="s">
        <v>724</v>
      </c>
      <c r="N101" s="133" t="s">
        <v>724</v>
      </c>
      <c r="O101" s="133" t="s">
        <v>19</v>
      </c>
      <c r="P101" s="133" t="s">
        <v>1027</v>
      </c>
      <c r="Q101" s="133" t="s">
        <v>717</v>
      </c>
      <c r="R101" s="133" t="s">
        <v>717</v>
      </c>
      <c r="S101" s="133">
        <v>1</v>
      </c>
      <c r="T101" s="133">
        <v>1</v>
      </c>
      <c r="U101" s="131">
        <v>1</v>
      </c>
      <c r="V101" s="133">
        <v>2026</v>
      </c>
      <c r="W101" s="142">
        <v>46112</v>
      </c>
      <c r="X101" s="141" t="s">
        <v>832</v>
      </c>
      <c r="Y101" s="131"/>
      <c r="Z101" s="181">
        <v>16</v>
      </c>
      <c r="AA101" s="131"/>
      <c r="AB101" s="131"/>
      <c r="AC101" s="131"/>
      <c r="AD101" s="131"/>
      <c r="AE101" s="154">
        <v>46023</v>
      </c>
      <c r="AF101" s="154">
        <v>46112</v>
      </c>
      <c r="AG101" s="95"/>
      <c r="AH101" s="95"/>
      <c r="AI101" s="95"/>
      <c r="AJ101" s="95"/>
      <c r="AK101" s="95"/>
      <c r="AL101" s="95"/>
      <c r="AM101" s="162"/>
      <c r="AN101" s="162"/>
      <c r="AO101" s="162"/>
      <c r="AP101" s="166">
        <v>8211</v>
      </c>
      <c r="AQ101" s="166">
        <v>20022</v>
      </c>
      <c r="AR101" s="166">
        <f t="shared" si="9"/>
        <v>16</v>
      </c>
      <c r="AS101" s="169">
        <f t="shared" si="10"/>
        <v>128</v>
      </c>
      <c r="AT101" s="168" t="s">
        <v>1028</v>
      </c>
    </row>
    <row r="102" s="116" customFormat="1" ht="71.25" hidden="1" spans="1:46">
      <c r="A102" s="131" t="s">
        <v>722</v>
      </c>
      <c r="B102" s="131" t="s">
        <v>734</v>
      </c>
      <c r="C102" s="131" t="s">
        <v>735</v>
      </c>
      <c r="D102" s="133" t="s">
        <v>1029</v>
      </c>
      <c r="E102" s="133" t="s">
        <v>1029</v>
      </c>
      <c r="F102" s="133" t="s">
        <v>749</v>
      </c>
      <c r="G102" s="133"/>
      <c r="H102" s="133" t="s">
        <v>1030</v>
      </c>
      <c r="I102" s="133" t="s">
        <v>1031</v>
      </c>
      <c r="J102" s="133" t="s">
        <v>1032</v>
      </c>
      <c r="K102" s="133" t="s">
        <v>730</v>
      </c>
      <c r="L102" s="131" t="s">
        <v>724</v>
      </c>
      <c r="M102" s="131" t="s">
        <v>724</v>
      </c>
      <c r="N102" s="131" t="s">
        <v>724</v>
      </c>
      <c r="O102" s="133" t="s">
        <v>19</v>
      </c>
      <c r="P102" s="133" t="s">
        <v>1033</v>
      </c>
      <c r="Q102" s="133" t="s">
        <v>718</v>
      </c>
      <c r="R102" s="173" t="s">
        <v>718</v>
      </c>
      <c r="S102" s="133">
        <v>0</v>
      </c>
      <c r="T102" s="133">
        <v>1</v>
      </c>
      <c r="U102" s="131">
        <v>0</v>
      </c>
      <c r="V102" s="133">
        <v>2026</v>
      </c>
      <c r="W102" s="140">
        <v>46112</v>
      </c>
      <c r="X102" s="141" t="s">
        <v>1034</v>
      </c>
      <c r="Y102" s="131"/>
      <c r="Z102" s="131"/>
      <c r="AA102" s="131">
        <v>22</v>
      </c>
      <c r="AB102" s="131"/>
      <c r="AC102" s="131"/>
      <c r="AD102" s="131"/>
      <c r="AE102" s="154">
        <v>46023</v>
      </c>
      <c r="AF102" s="154">
        <v>46112</v>
      </c>
      <c r="AG102" s="95"/>
      <c r="AH102" s="95"/>
      <c r="AI102" s="95"/>
      <c r="AJ102" s="95"/>
      <c r="AK102" s="95"/>
      <c r="AL102" s="95"/>
      <c r="AM102" s="162"/>
      <c r="AN102" s="162"/>
      <c r="AO102" s="162"/>
      <c r="AP102" s="166">
        <v>8241</v>
      </c>
      <c r="AQ102" s="166">
        <v>19935</v>
      </c>
      <c r="AR102" s="166">
        <f t="shared" si="9"/>
        <v>22</v>
      </c>
      <c r="AS102" s="169">
        <f t="shared" si="10"/>
        <v>176</v>
      </c>
      <c r="AT102" s="168"/>
    </row>
    <row r="103" s="116" customFormat="1" ht="57" spans="1:46">
      <c r="A103" s="131" t="s">
        <v>722</v>
      </c>
      <c r="B103" s="131" t="s">
        <v>734</v>
      </c>
      <c r="C103" s="131" t="s">
        <v>735</v>
      </c>
      <c r="D103" s="133" t="s">
        <v>736</v>
      </c>
      <c r="E103" s="133" t="s">
        <v>737</v>
      </c>
      <c r="F103" s="133" t="s">
        <v>749</v>
      </c>
      <c r="G103" s="133"/>
      <c r="H103" s="134" t="s">
        <v>1035</v>
      </c>
      <c r="I103" s="133" t="s">
        <v>1036</v>
      </c>
      <c r="J103" s="139" t="s">
        <v>915</v>
      </c>
      <c r="K103" s="133" t="s">
        <v>730</v>
      </c>
      <c r="L103" s="131" t="s">
        <v>724</v>
      </c>
      <c r="M103" s="131" t="s">
        <v>724</v>
      </c>
      <c r="N103" s="131" t="s">
        <v>735</v>
      </c>
      <c r="O103" s="133" t="s">
        <v>19</v>
      </c>
      <c r="P103" s="133" t="s">
        <v>1033</v>
      </c>
      <c r="Q103" s="133" t="s">
        <v>718</v>
      </c>
      <c r="R103" s="173" t="s">
        <v>718</v>
      </c>
      <c r="S103" s="133">
        <v>0</v>
      </c>
      <c r="T103" s="133">
        <v>1</v>
      </c>
      <c r="U103" s="131">
        <v>0</v>
      </c>
      <c r="V103" s="133">
        <v>2026</v>
      </c>
      <c r="W103" s="140">
        <v>46112</v>
      </c>
      <c r="X103" s="141" t="s">
        <v>746</v>
      </c>
      <c r="Y103" s="131"/>
      <c r="Z103" s="131"/>
      <c r="AA103" s="131">
        <v>25</v>
      </c>
      <c r="AB103" s="131"/>
      <c r="AC103" s="131"/>
      <c r="AD103" s="131"/>
      <c r="AE103" s="154">
        <v>46023</v>
      </c>
      <c r="AF103" s="154">
        <v>46112</v>
      </c>
      <c r="AG103" s="95"/>
      <c r="AH103" s="95"/>
      <c r="AI103" s="95"/>
      <c r="AJ103" s="95"/>
      <c r="AK103" s="95"/>
      <c r="AL103" s="95"/>
      <c r="AM103" s="162"/>
      <c r="AN103" s="162"/>
      <c r="AO103" s="162"/>
      <c r="AP103" s="166">
        <v>8231</v>
      </c>
      <c r="AQ103" s="166">
        <v>20012</v>
      </c>
      <c r="AR103" s="166">
        <f t="shared" si="9"/>
        <v>25</v>
      </c>
      <c r="AS103" s="169">
        <f t="shared" si="10"/>
        <v>200</v>
      </c>
      <c r="AT103" s="168"/>
    </row>
    <row r="104" s="116" customFormat="1" ht="57" spans="1:46">
      <c r="A104" s="131" t="s">
        <v>722</v>
      </c>
      <c r="B104" s="131" t="s">
        <v>734</v>
      </c>
      <c r="C104" s="131" t="s">
        <v>735</v>
      </c>
      <c r="D104" s="133" t="s">
        <v>736</v>
      </c>
      <c r="E104" s="133" t="s">
        <v>737</v>
      </c>
      <c r="F104" s="133" t="s">
        <v>749</v>
      </c>
      <c r="G104" s="133"/>
      <c r="H104" s="133" t="s">
        <v>1037</v>
      </c>
      <c r="I104" s="133" t="s">
        <v>1038</v>
      </c>
      <c r="J104" s="139" t="s">
        <v>915</v>
      </c>
      <c r="K104" s="133" t="s">
        <v>1020</v>
      </c>
      <c r="L104" s="131" t="s">
        <v>724</v>
      </c>
      <c r="M104" s="131" t="s">
        <v>724</v>
      </c>
      <c r="N104" s="131" t="s">
        <v>735</v>
      </c>
      <c r="O104" s="133" t="s">
        <v>1021</v>
      </c>
      <c r="P104" s="133" t="s">
        <v>1039</v>
      </c>
      <c r="Q104" s="132" t="s">
        <v>717</v>
      </c>
      <c r="R104" s="132" t="s">
        <v>717</v>
      </c>
      <c r="S104" s="132">
        <v>1</v>
      </c>
      <c r="T104" s="132">
        <v>1</v>
      </c>
      <c r="U104" s="95">
        <v>1</v>
      </c>
      <c r="V104" s="133">
        <v>2026</v>
      </c>
      <c r="W104" s="140">
        <v>46112</v>
      </c>
      <c r="X104" s="141" t="s">
        <v>746</v>
      </c>
      <c r="Y104" s="95"/>
      <c r="Z104" s="95">
        <v>25</v>
      </c>
      <c r="AA104" s="95"/>
      <c r="AB104" s="95"/>
      <c r="AC104" s="95"/>
      <c r="AD104" s="95"/>
      <c r="AE104" s="154">
        <v>46023</v>
      </c>
      <c r="AF104" s="154">
        <v>46112</v>
      </c>
      <c r="AG104" s="95"/>
      <c r="AH104" s="95"/>
      <c r="AI104" s="95"/>
      <c r="AJ104" s="95"/>
      <c r="AK104" s="95"/>
      <c r="AL104" s="95"/>
      <c r="AM104" s="162"/>
      <c r="AN104" s="162"/>
      <c r="AO104" s="162"/>
      <c r="AP104" s="166">
        <v>8229</v>
      </c>
      <c r="AQ104" s="166">
        <v>20008</v>
      </c>
      <c r="AR104" s="166">
        <f t="shared" si="9"/>
        <v>25</v>
      </c>
      <c r="AS104" s="169">
        <f t="shared" si="10"/>
        <v>200</v>
      </c>
      <c r="AT104" s="168"/>
    </row>
    <row r="105" s="116" customFormat="1" ht="57" spans="1:46">
      <c r="A105" s="131" t="s">
        <v>722</v>
      </c>
      <c r="B105" s="131" t="s">
        <v>734</v>
      </c>
      <c r="C105" s="131" t="s">
        <v>735</v>
      </c>
      <c r="D105" s="133" t="s">
        <v>736</v>
      </c>
      <c r="E105" s="133" t="s">
        <v>737</v>
      </c>
      <c r="F105" s="133" t="s">
        <v>749</v>
      </c>
      <c r="G105" s="133"/>
      <c r="H105" s="133" t="s">
        <v>1040</v>
      </c>
      <c r="I105" s="133" t="s">
        <v>1041</v>
      </c>
      <c r="J105" s="139" t="s">
        <v>915</v>
      </c>
      <c r="K105" s="133" t="s">
        <v>1020</v>
      </c>
      <c r="L105" s="131" t="s">
        <v>724</v>
      </c>
      <c r="M105" s="131" t="s">
        <v>724</v>
      </c>
      <c r="N105" s="131" t="s">
        <v>735</v>
      </c>
      <c r="O105" s="133" t="s">
        <v>1021</v>
      </c>
      <c r="P105" s="133" t="s">
        <v>1039</v>
      </c>
      <c r="Q105" s="132" t="s">
        <v>717</v>
      </c>
      <c r="R105" s="132" t="s">
        <v>717</v>
      </c>
      <c r="S105" s="132">
        <v>1</v>
      </c>
      <c r="T105" s="132">
        <v>1</v>
      </c>
      <c r="U105" s="95">
        <v>1</v>
      </c>
      <c r="V105" s="133">
        <v>2026</v>
      </c>
      <c r="W105" s="140">
        <v>46112</v>
      </c>
      <c r="X105" s="141" t="s">
        <v>746</v>
      </c>
      <c r="Y105" s="95"/>
      <c r="Z105" s="95">
        <v>10</v>
      </c>
      <c r="AA105" s="95"/>
      <c r="AB105" s="95"/>
      <c r="AC105" s="95"/>
      <c r="AD105" s="95"/>
      <c r="AE105" s="154">
        <v>46023</v>
      </c>
      <c r="AF105" s="154">
        <v>46112</v>
      </c>
      <c r="AG105" s="95"/>
      <c r="AH105" s="95"/>
      <c r="AI105" s="95"/>
      <c r="AJ105" s="95"/>
      <c r="AK105" s="95"/>
      <c r="AL105" s="95"/>
      <c r="AM105" s="162"/>
      <c r="AN105" s="162"/>
      <c r="AO105" s="162"/>
      <c r="AP105" s="166">
        <v>8506</v>
      </c>
      <c r="AQ105" s="166">
        <v>20297</v>
      </c>
      <c r="AR105" s="166">
        <f t="shared" si="9"/>
        <v>10</v>
      </c>
      <c r="AS105" s="169">
        <f t="shared" si="10"/>
        <v>80</v>
      </c>
      <c r="AT105" s="168"/>
    </row>
    <row r="106" s="116" customFormat="1" ht="71.25" hidden="1" spans="1:46">
      <c r="A106" s="137" t="s">
        <v>722</v>
      </c>
      <c r="B106" s="137" t="s">
        <v>734</v>
      </c>
      <c r="C106" s="137" t="s">
        <v>735</v>
      </c>
      <c r="D106" s="138" t="s">
        <v>736</v>
      </c>
      <c r="E106" s="138" t="s">
        <v>737</v>
      </c>
      <c r="F106" s="138" t="s">
        <v>749</v>
      </c>
      <c r="G106" s="138"/>
      <c r="H106" s="138" t="s">
        <v>1042</v>
      </c>
      <c r="I106" s="138" t="s">
        <v>1043</v>
      </c>
      <c r="J106" s="170" t="s">
        <v>915</v>
      </c>
      <c r="K106" s="138" t="s">
        <v>1020</v>
      </c>
      <c r="L106" s="137" t="s">
        <v>724</v>
      </c>
      <c r="M106" s="137" t="s">
        <v>724</v>
      </c>
      <c r="N106" s="137" t="s">
        <v>724</v>
      </c>
      <c r="O106" s="138" t="s">
        <v>1021</v>
      </c>
      <c r="P106" s="138" t="s">
        <v>1039</v>
      </c>
      <c r="Q106" s="174" t="s">
        <v>717</v>
      </c>
      <c r="R106" s="132" t="s">
        <v>717</v>
      </c>
      <c r="S106" s="132">
        <v>1</v>
      </c>
      <c r="T106" s="132">
        <v>1</v>
      </c>
      <c r="U106" s="95">
        <v>1</v>
      </c>
      <c r="V106" s="133">
        <v>2026</v>
      </c>
      <c r="W106" s="175">
        <v>46112</v>
      </c>
      <c r="X106" s="148" t="s">
        <v>746</v>
      </c>
      <c r="Y106" s="183"/>
      <c r="Z106" s="183">
        <v>8</v>
      </c>
      <c r="AA106" s="183"/>
      <c r="AB106" s="183"/>
      <c r="AC106" s="183"/>
      <c r="AD106" s="183"/>
      <c r="AE106" s="158">
        <v>46023</v>
      </c>
      <c r="AF106" s="158">
        <v>46112</v>
      </c>
      <c r="AG106" s="95"/>
      <c r="AH106" s="95"/>
      <c r="AI106" s="95"/>
      <c r="AJ106" s="95"/>
      <c r="AK106" s="95"/>
      <c r="AL106" s="95"/>
      <c r="AM106" s="162"/>
      <c r="AN106" s="162"/>
      <c r="AO106" s="162"/>
      <c r="AP106" s="166">
        <v>8507</v>
      </c>
      <c r="AQ106" s="166">
        <v>20298</v>
      </c>
      <c r="AR106" s="166">
        <f t="shared" si="9"/>
        <v>8</v>
      </c>
      <c r="AS106" s="169">
        <f t="shared" si="10"/>
        <v>64</v>
      </c>
      <c r="AT106" s="168"/>
    </row>
    <row r="107" s="116" customFormat="1" ht="57" spans="1:46">
      <c r="A107" s="131" t="s">
        <v>722</v>
      </c>
      <c r="B107" s="131" t="s">
        <v>734</v>
      </c>
      <c r="C107" s="131" t="s">
        <v>735</v>
      </c>
      <c r="D107" s="133" t="s">
        <v>736</v>
      </c>
      <c r="E107" s="133" t="s">
        <v>737</v>
      </c>
      <c r="F107" s="133" t="s">
        <v>749</v>
      </c>
      <c r="G107" s="133"/>
      <c r="H107" s="133" t="s">
        <v>1044</v>
      </c>
      <c r="I107" s="133" t="s">
        <v>1045</v>
      </c>
      <c r="J107" s="139" t="s">
        <v>915</v>
      </c>
      <c r="K107" s="133" t="s">
        <v>1020</v>
      </c>
      <c r="L107" s="131" t="s">
        <v>724</v>
      </c>
      <c r="M107" s="131" t="s">
        <v>724</v>
      </c>
      <c r="N107" s="131" t="s">
        <v>735</v>
      </c>
      <c r="O107" s="133" t="s">
        <v>1021</v>
      </c>
      <c r="P107" s="133" t="s">
        <v>1039</v>
      </c>
      <c r="Q107" s="132" t="s">
        <v>717</v>
      </c>
      <c r="R107" s="132" t="s">
        <v>717</v>
      </c>
      <c r="S107" s="132">
        <v>1</v>
      </c>
      <c r="T107" s="132">
        <v>1</v>
      </c>
      <c r="U107" s="95">
        <v>1</v>
      </c>
      <c r="V107" s="133">
        <v>2026</v>
      </c>
      <c r="W107" s="140">
        <v>46112</v>
      </c>
      <c r="X107" s="141" t="s">
        <v>746</v>
      </c>
      <c r="Y107" s="95"/>
      <c r="Z107" s="95">
        <v>8</v>
      </c>
      <c r="AA107" s="95"/>
      <c r="AB107" s="95"/>
      <c r="AC107" s="95"/>
      <c r="AD107" s="95"/>
      <c r="AE107" s="154">
        <v>46023</v>
      </c>
      <c r="AF107" s="154">
        <v>46112</v>
      </c>
      <c r="AG107" s="95"/>
      <c r="AH107" s="95"/>
      <c r="AI107" s="95"/>
      <c r="AJ107" s="95"/>
      <c r="AK107" s="95"/>
      <c r="AL107" s="95"/>
      <c r="AM107" s="162"/>
      <c r="AN107" s="162"/>
      <c r="AO107" s="162"/>
      <c r="AP107" s="166">
        <v>8228</v>
      </c>
      <c r="AQ107" s="166">
        <v>20009</v>
      </c>
      <c r="AR107" s="166">
        <f t="shared" si="9"/>
        <v>8</v>
      </c>
      <c r="AS107" s="169">
        <f t="shared" si="10"/>
        <v>64</v>
      </c>
      <c r="AT107" s="168"/>
    </row>
    <row r="108" s="116" customFormat="1" ht="57" spans="1:46">
      <c r="A108" s="131" t="s">
        <v>722</v>
      </c>
      <c r="B108" s="131" t="s">
        <v>734</v>
      </c>
      <c r="C108" s="131" t="s">
        <v>735</v>
      </c>
      <c r="D108" s="133" t="s">
        <v>736</v>
      </c>
      <c r="E108" s="133" t="s">
        <v>737</v>
      </c>
      <c r="F108" s="133" t="s">
        <v>749</v>
      </c>
      <c r="G108" s="133"/>
      <c r="H108" s="133" t="s">
        <v>1046</v>
      </c>
      <c r="I108" s="133" t="s">
        <v>1047</v>
      </c>
      <c r="J108" s="139" t="s">
        <v>915</v>
      </c>
      <c r="K108" s="133" t="s">
        <v>1020</v>
      </c>
      <c r="L108" s="131" t="s">
        <v>724</v>
      </c>
      <c r="M108" s="131" t="s">
        <v>724</v>
      </c>
      <c r="N108" s="131" t="s">
        <v>735</v>
      </c>
      <c r="O108" s="133" t="s">
        <v>1021</v>
      </c>
      <c r="P108" s="133" t="s">
        <v>1039</v>
      </c>
      <c r="Q108" s="132" t="s">
        <v>717</v>
      </c>
      <c r="R108" s="132" t="s">
        <v>717</v>
      </c>
      <c r="S108" s="132">
        <v>1</v>
      </c>
      <c r="T108" s="132">
        <v>1</v>
      </c>
      <c r="U108" s="95">
        <v>1</v>
      </c>
      <c r="V108" s="133">
        <v>2026</v>
      </c>
      <c r="W108" s="140">
        <v>46112</v>
      </c>
      <c r="X108" s="141" t="s">
        <v>746</v>
      </c>
      <c r="Y108" s="95"/>
      <c r="Z108" s="95">
        <v>10</v>
      </c>
      <c r="AA108" s="95"/>
      <c r="AB108" s="95"/>
      <c r="AC108" s="95"/>
      <c r="AD108" s="95"/>
      <c r="AE108" s="154">
        <v>46023</v>
      </c>
      <c r="AF108" s="154">
        <v>46112</v>
      </c>
      <c r="AG108" s="95"/>
      <c r="AH108" s="95"/>
      <c r="AI108" s="95"/>
      <c r="AJ108" s="95"/>
      <c r="AK108" s="95"/>
      <c r="AL108" s="95"/>
      <c r="AM108" s="162"/>
      <c r="AN108" s="162"/>
      <c r="AO108" s="162"/>
      <c r="AP108" s="166">
        <v>8508</v>
      </c>
      <c r="AQ108" s="166">
        <v>20299</v>
      </c>
      <c r="AR108" s="166">
        <f t="shared" si="9"/>
        <v>10</v>
      </c>
      <c r="AS108" s="169">
        <f t="shared" si="10"/>
        <v>80</v>
      </c>
      <c r="AT108" s="168"/>
    </row>
    <row r="109" s="116" customFormat="1" ht="57" hidden="1" spans="1:46">
      <c r="A109" s="135" t="s">
        <v>722</v>
      </c>
      <c r="B109" s="135" t="s">
        <v>734</v>
      </c>
      <c r="C109" s="135" t="s">
        <v>735</v>
      </c>
      <c r="D109" s="136" t="s">
        <v>1048</v>
      </c>
      <c r="E109" s="136" t="s">
        <v>847</v>
      </c>
      <c r="F109" s="136" t="s">
        <v>749</v>
      </c>
      <c r="G109" s="136"/>
      <c r="H109" s="136" t="s">
        <v>1049</v>
      </c>
      <c r="I109" s="136" t="s">
        <v>1050</v>
      </c>
      <c r="J109" s="171" t="s">
        <v>915</v>
      </c>
      <c r="K109" s="136" t="s">
        <v>1051</v>
      </c>
      <c r="L109" s="135" t="s">
        <v>724</v>
      </c>
      <c r="M109" s="135" t="s">
        <v>724</v>
      </c>
      <c r="N109" s="136" t="s">
        <v>724</v>
      </c>
      <c r="O109" s="136" t="s">
        <v>1021</v>
      </c>
      <c r="P109" s="136" t="s">
        <v>1039</v>
      </c>
      <c r="Q109" s="176" t="s">
        <v>717</v>
      </c>
      <c r="R109" s="132" t="s">
        <v>717</v>
      </c>
      <c r="S109" s="132">
        <v>1</v>
      </c>
      <c r="T109" s="132">
        <v>1</v>
      </c>
      <c r="U109" s="95">
        <v>1</v>
      </c>
      <c r="V109" s="133">
        <v>2026</v>
      </c>
      <c r="W109" s="177">
        <v>46112</v>
      </c>
      <c r="X109" s="146" t="s">
        <v>852</v>
      </c>
      <c r="Y109" s="184"/>
      <c r="Z109" s="184">
        <v>16</v>
      </c>
      <c r="AA109" s="184"/>
      <c r="AB109" s="184"/>
      <c r="AC109" s="184"/>
      <c r="AD109" s="184"/>
      <c r="AE109" s="157"/>
      <c r="AF109" s="157"/>
      <c r="AG109" s="95"/>
      <c r="AH109" s="95"/>
      <c r="AI109" s="95"/>
      <c r="AJ109" s="95"/>
      <c r="AK109" s="95"/>
      <c r="AL109" s="95"/>
      <c r="AM109" s="162"/>
      <c r="AN109" s="162"/>
      <c r="AO109" s="162"/>
      <c r="AP109" s="166">
        <v>9096</v>
      </c>
      <c r="AQ109" s="166">
        <v>21464</v>
      </c>
      <c r="AR109" s="166"/>
      <c r="AS109" s="169"/>
      <c r="AT109" s="168"/>
    </row>
    <row r="110" s="116" customFormat="1" ht="71.25" spans="1:46">
      <c r="A110" s="131" t="s">
        <v>722</v>
      </c>
      <c r="B110" s="131" t="s">
        <v>734</v>
      </c>
      <c r="C110" s="131" t="s">
        <v>735</v>
      </c>
      <c r="D110" s="133" t="s">
        <v>736</v>
      </c>
      <c r="E110" s="133" t="s">
        <v>737</v>
      </c>
      <c r="F110" s="133" t="s">
        <v>749</v>
      </c>
      <c r="G110" s="133"/>
      <c r="H110" s="133" t="s">
        <v>1052</v>
      </c>
      <c r="I110" s="133" t="s">
        <v>1053</v>
      </c>
      <c r="J110" s="139" t="s">
        <v>915</v>
      </c>
      <c r="K110" s="133" t="s">
        <v>1020</v>
      </c>
      <c r="L110" s="131" t="s">
        <v>724</v>
      </c>
      <c r="M110" s="131" t="s">
        <v>724</v>
      </c>
      <c r="N110" s="131" t="s">
        <v>735</v>
      </c>
      <c r="O110" s="133" t="s">
        <v>1021</v>
      </c>
      <c r="P110" s="133" t="s">
        <v>1039</v>
      </c>
      <c r="Q110" s="132" t="s">
        <v>717</v>
      </c>
      <c r="R110" s="132" t="s">
        <v>717</v>
      </c>
      <c r="S110" s="132">
        <v>1</v>
      </c>
      <c r="T110" s="132">
        <v>1</v>
      </c>
      <c r="U110" s="95">
        <v>1</v>
      </c>
      <c r="V110" s="133">
        <v>2026</v>
      </c>
      <c r="W110" s="140">
        <v>46112</v>
      </c>
      <c r="X110" s="141" t="s">
        <v>746</v>
      </c>
      <c r="Y110" s="95"/>
      <c r="Z110" s="95">
        <v>5</v>
      </c>
      <c r="AA110" s="95"/>
      <c r="AB110" s="95"/>
      <c r="AC110" s="95"/>
      <c r="AD110" s="95"/>
      <c r="AE110" s="154">
        <v>46023</v>
      </c>
      <c r="AF110" s="154">
        <v>46112</v>
      </c>
      <c r="AG110" s="95"/>
      <c r="AH110" s="95"/>
      <c r="AI110" s="95"/>
      <c r="AJ110" s="95"/>
      <c r="AK110" s="95"/>
      <c r="AL110" s="95"/>
      <c r="AM110" s="162"/>
      <c r="AN110" s="162"/>
      <c r="AO110" s="162"/>
      <c r="AP110" s="166">
        <v>8509</v>
      </c>
      <c r="AQ110" s="166">
        <v>20300</v>
      </c>
      <c r="AR110" s="166">
        <f t="shared" ref="AR110:AR127" si="27">SUM(Y110:AD110)</f>
        <v>5</v>
      </c>
      <c r="AS110" s="169">
        <f t="shared" ref="AS110:AS127" si="28">AR110*8</f>
        <v>40</v>
      </c>
      <c r="AT110" s="168"/>
    </row>
    <row r="111" s="116" customFormat="1" ht="57" spans="1:46">
      <c r="A111" s="131" t="s">
        <v>722</v>
      </c>
      <c r="B111" s="131" t="s">
        <v>734</v>
      </c>
      <c r="C111" s="131" t="s">
        <v>735</v>
      </c>
      <c r="D111" s="133" t="s">
        <v>736</v>
      </c>
      <c r="E111" s="133" t="s">
        <v>737</v>
      </c>
      <c r="F111" s="133" t="s">
        <v>749</v>
      </c>
      <c r="G111" s="133"/>
      <c r="H111" s="133" t="s">
        <v>1037</v>
      </c>
      <c r="I111" s="133" t="s">
        <v>1054</v>
      </c>
      <c r="J111" s="139" t="s">
        <v>915</v>
      </c>
      <c r="K111" s="133" t="s">
        <v>1020</v>
      </c>
      <c r="L111" s="131" t="s">
        <v>724</v>
      </c>
      <c r="M111" s="131" t="s">
        <v>724</v>
      </c>
      <c r="N111" s="131" t="s">
        <v>735</v>
      </c>
      <c r="O111" s="133" t="s">
        <v>1021</v>
      </c>
      <c r="P111" s="133" t="s">
        <v>1055</v>
      </c>
      <c r="Q111" s="132" t="s">
        <v>717</v>
      </c>
      <c r="R111" s="132" t="s">
        <v>717</v>
      </c>
      <c r="S111" s="132">
        <v>1</v>
      </c>
      <c r="T111" s="132">
        <v>1</v>
      </c>
      <c r="U111" s="95">
        <v>1</v>
      </c>
      <c r="V111" s="133">
        <v>2026</v>
      </c>
      <c r="W111" s="140">
        <v>46112</v>
      </c>
      <c r="X111" s="141" t="s">
        <v>746</v>
      </c>
      <c r="Y111" s="95"/>
      <c r="Z111" s="95">
        <v>30</v>
      </c>
      <c r="AA111" s="95"/>
      <c r="AB111" s="95"/>
      <c r="AC111" s="95"/>
      <c r="AD111" s="95"/>
      <c r="AE111" s="154">
        <v>46023</v>
      </c>
      <c r="AF111" s="154">
        <v>46112</v>
      </c>
      <c r="AG111" s="95"/>
      <c r="AH111" s="95"/>
      <c r="AI111" s="95"/>
      <c r="AJ111" s="95"/>
      <c r="AK111" s="95"/>
      <c r="AL111" s="95"/>
      <c r="AM111" s="162"/>
      <c r="AN111" s="162"/>
      <c r="AO111" s="162"/>
      <c r="AP111" s="166">
        <v>8227</v>
      </c>
      <c r="AQ111" s="166">
        <v>20010</v>
      </c>
      <c r="AR111" s="166">
        <f t="shared" si="27"/>
        <v>30</v>
      </c>
      <c r="AS111" s="169">
        <f t="shared" si="28"/>
        <v>240</v>
      </c>
      <c r="AT111" s="168"/>
    </row>
    <row r="112" s="116" customFormat="1" ht="57" spans="1:46">
      <c r="A112" s="131" t="s">
        <v>722</v>
      </c>
      <c r="B112" s="131" t="s">
        <v>734</v>
      </c>
      <c r="C112" s="131" t="s">
        <v>735</v>
      </c>
      <c r="D112" s="133" t="s">
        <v>736</v>
      </c>
      <c r="E112" s="133" t="s">
        <v>737</v>
      </c>
      <c r="F112" s="133" t="s">
        <v>749</v>
      </c>
      <c r="G112" s="133"/>
      <c r="H112" s="133" t="s">
        <v>1056</v>
      </c>
      <c r="I112" s="133" t="s">
        <v>1057</v>
      </c>
      <c r="J112" s="139" t="s">
        <v>915</v>
      </c>
      <c r="K112" s="133" t="s">
        <v>1020</v>
      </c>
      <c r="L112" s="131" t="s">
        <v>724</v>
      </c>
      <c r="M112" s="131" t="s">
        <v>724</v>
      </c>
      <c r="N112" s="131" t="s">
        <v>735</v>
      </c>
      <c r="O112" s="133" t="s">
        <v>1021</v>
      </c>
      <c r="P112" s="133" t="s">
        <v>1055</v>
      </c>
      <c r="Q112" s="132" t="s">
        <v>717</v>
      </c>
      <c r="R112" s="132" t="s">
        <v>717</v>
      </c>
      <c r="S112" s="132">
        <v>1</v>
      </c>
      <c r="T112" s="132">
        <v>1</v>
      </c>
      <c r="U112" s="95">
        <v>1</v>
      </c>
      <c r="V112" s="133">
        <v>2026</v>
      </c>
      <c r="W112" s="140">
        <v>46112</v>
      </c>
      <c r="X112" s="141" t="s">
        <v>746</v>
      </c>
      <c r="Y112" s="95"/>
      <c r="Z112" s="95">
        <v>3</v>
      </c>
      <c r="AA112" s="95"/>
      <c r="AB112" s="95"/>
      <c r="AC112" s="95"/>
      <c r="AD112" s="95"/>
      <c r="AE112" s="154">
        <v>46023</v>
      </c>
      <c r="AF112" s="154">
        <v>46112</v>
      </c>
      <c r="AG112" s="95"/>
      <c r="AH112" s="95"/>
      <c r="AI112" s="95"/>
      <c r="AJ112" s="95"/>
      <c r="AK112" s="95"/>
      <c r="AL112" s="95"/>
      <c r="AM112" s="162"/>
      <c r="AN112" s="162"/>
      <c r="AO112" s="162"/>
      <c r="AP112" s="166">
        <v>8510</v>
      </c>
      <c r="AQ112" s="166">
        <v>20301</v>
      </c>
      <c r="AR112" s="166">
        <f t="shared" si="27"/>
        <v>3</v>
      </c>
      <c r="AS112" s="169">
        <f t="shared" si="28"/>
        <v>24</v>
      </c>
      <c r="AT112" s="168"/>
    </row>
    <row r="113" s="116" customFormat="1" ht="57" spans="1:46">
      <c r="A113" s="131" t="s">
        <v>722</v>
      </c>
      <c r="B113" s="131" t="s">
        <v>734</v>
      </c>
      <c r="C113" s="131" t="s">
        <v>735</v>
      </c>
      <c r="D113" s="133" t="s">
        <v>736</v>
      </c>
      <c r="E113" s="133" t="s">
        <v>737</v>
      </c>
      <c r="F113" s="133" t="s">
        <v>749</v>
      </c>
      <c r="G113" s="133"/>
      <c r="H113" s="133" t="s">
        <v>1058</v>
      </c>
      <c r="I113" s="133" t="s">
        <v>1059</v>
      </c>
      <c r="J113" s="139" t="s">
        <v>915</v>
      </c>
      <c r="K113" s="133" t="s">
        <v>1020</v>
      </c>
      <c r="L113" s="131" t="s">
        <v>724</v>
      </c>
      <c r="M113" s="131" t="s">
        <v>724</v>
      </c>
      <c r="N113" s="131" t="s">
        <v>735</v>
      </c>
      <c r="O113" s="133" t="s">
        <v>1021</v>
      </c>
      <c r="P113" s="133" t="s">
        <v>1055</v>
      </c>
      <c r="Q113" s="132" t="s">
        <v>717</v>
      </c>
      <c r="R113" s="132" t="s">
        <v>717</v>
      </c>
      <c r="S113" s="132">
        <v>1</v>
      </c>
      <c r="T113" s="132">
        <v>1</v>
      </c>
      <c r="U113" s="95">
        <v>1</v>
      </c>
      <c r="V113" s="133">
        <v>2026</v>
      </c>
      <c r="W113" s="140">
        <v>46112</v>
      </c>
      <c r="X113" s="141" t="s">
        <v>746</v>
      </c>
      <c r="Y113" s="95"/>
      <c r="Z113" s="95">
        <v>4</v>
      </c>
      <c r="AA113" s="95"/>
      <c r="AB113" s="95"/>
      <c r="AC113" s="95"/>
      <c r="AD113" s="95"/>
      <c r="AE113" s="154">
        <v>46023</v>
      </c>
      <c r="AF113" s="154">
        <v>46112</v>
      </c>
      <c r="AG113" s="95"/>
      <c r="AH113" s="95"/>
      <c r="AI113" s="95"/>
      <c r="AJ113" s="95"/>
      <c r="AK113" s="95"/>
      <c r="AL113" s="95"/>
      <c r="AM113" s="162"/>
      <c r="AN113" s="162"/>
      <c r="AO113" s="162"/>
      <c r="AP113" s="166">
        <v>8511</v>
      </c>
      <c r="AQ113" s="166">
        <v>20302</v>
      </c>
      <c r="AR113" s="166">
        <f t="shared" si="27"/>
        <v>4</v>
      </c>
      <c r="AS113" s="169">
        <f t="shared" si="28"/>
        <v>32</v>
      </c>
      <c r="AT113" s="168"/>
    </row>
    <row r="114" s="116" customFormat="1" ht="57" spans="1:46">
      <c r="A114" s="131" t="s">
        <v>722</v>
      </c>
      <c r="B114" s="131" t="s">
        <v>734</v>
      </c>
      <c r="C114" s="131" t="s">
        <v>735</v>
      </c>
      <c r="D114" s="133" t="s">
        <v>736</v>
      </c>
      <c r="E114" s="133" t="s">
        <v>737</v>
      </c>
      <c r="F114" s="133" t="s">
        <v>749</v>
      </c>
      <c r="G114" s="133"/>
      <c r="H114" s="133" t="s">
        <v>1060</v>
      </c>
      <c r="I114" s="133" t="s">
        <v>1061</v>
      </c>
      <c r="J114" s="139" t="s">
        <v>915</v>
      </c>
      <c r="K114" s="133" t="s">
        <v>1020</v>
      </c>
      <c r="L114" s="131" t="s">
        <v>724</v>
      </c>
      <c r="M114" s="131" t="s">
        <v>724</v>
      </c>
      <c r="N114" s="131" t="s">
        <v>735</v>
      </c>
      <c r="O114" s="133" t="s">
        <v>1021</v>
      </c>
      <c r="P114" s="133" t="s">
        <v>1055</v>
      </c>
      <c r="Q114" s="132" t="s">
        <v>717</v>
      </c>
      <c r="R114" s="132" t="s">
        <v>717</v>
      </c>
      <c r="S114" s="132">
        <v>1</v>
      </c>
      <c r="T114" s="132">
        <v>1</v>
      </c>
      <c r="U114" s="95">
        <v>1</v>
      </c>
      <c r="V114" s="133">
        <v>2026</v>
      </c>
      <c r="W114" s="140">
        <v>46112</v>
      </c>
      <c r="X114" s="141" t="s">
        <v>746</v>
      </c>
      <c r="Y114" s="95"/>
      <c r="Z114" s="95">
        <v>4</v>
      </c>
      <c r="AA114" s="95"/>
      <c r="AB114" s="95"/>
      <c r="AC114" s="95"/>
      <c r="AD114" s="95"/>
      <c r="AE114" s="154">
        <v>46023</v>
      </c>
      <c r="AF114" s="154">
        <v>46112</v>
      </c>
      <c r="AG114" s="95"/>
      <c r="AH114" s="95"/>
      <c r="AI114" s="95"/>
      <c r="AJ114" s="95"/>
      <c r="AK114" s="95"/>
      <c r="AL114" s="95"/>
      <c r="AM114" s="162"/>
      <c r="AN114" s="162"/>
      <c r="AO114" s="162"/>
      <c r="AP114" s="166">
        <v>8512</v>
      </c>
      <c r="AQ114" s="166">
        <v>20303</v>
      </c>
      <c r="AR114" s="166">
        <f t="shared" si="27"/>
        <v>4</v>
      </c>
      <c r="AS114" s="169">
        <f t="shared" si="28"/>
        <v>32</v>
      </c>
      <c r="AT114" s="168"/>
    </row>
    <row r="115" s="116" customFormat="1" ht="57" spans="1:46">
      <c r="A115" s="131" t="s">
        <v>722</v>
      </c>
      <c r="B115" s="131" t="s">
        <v>734</v>
      </c>
      <c r="C115" s="131" t="s">
        <v>735</v>
      </c>
      <c r="D115" s="133" t="s">
        <v>736</v>
      </c>
      <c r="E115" s="133" t="s">
        <v>737</v>
      </c>
      <c r="F115" s="133" t="s">
        <v>749</v>
      </c>
      <c r="G115" s="133"/>
      <c r="H115" s="133" t="s">
        <v>1062</v>
      </c>
      <c r="I115" s="133" t="s">
        <v>1063</v>
      </c>
      <c r="J115" s="139" t="s">
        <v>915</v>
      </c>
      <c r="K115" s="133" t="s">
        <v>1020</v>
      </c>
      <c r="L115" s="131" t="s">
        <v>724</v>
      </c>
      <c r="M115" s="131" t="s">
        <v>724</v>
      </c>
      <c r="N115" s="131" t="s">
        <v>735</v>
      </c>
      <c r="O115" s="133" t="s">
        <v>1021</v>
      </c>
      <c r="P115" s="133" t="s">
        <v>1055</v>
      </c>
      <c r="Q115" s="132" t="s">
        <v>717</v>
      </c>
      <c r="R115" s="132" t="s">
        <v>717</v>
      </c>
      <c r="S115" s="132">
        <v>1</v>
      </c>
      <c r="T115" s="132">
        <v>1</v>
      </c>
      <c r="U115" s="95">
        <v>1</v>
      </c>
      <c r="V115" s="133">
        <v>2026</v>
      </c>
      <c r="W115" s="140">
        <v>46112</v>
      </c>
      <c r="X115" s="141" t="s">
        <v>746</v>
      </c>
      <c r="Y115" s="95"/>
      <c r="Z115" s="95">
        <v>5</v>
      </c>
      <c r="AA115" s="95"/>
      <c r="AB115" s="95"/>
      <c r="AC115" s="95"/>
      <c r="AD115" s="95"/>
      <c r="AE115" s="154">
        <v>46023</v>
      </c>
      <c r="AF115" s="154">
        <v>46112</v>
      </c>
      <c r="AG115" s="95"/>
      <c r="AH115" s="95"/>
      <c r="AI115" s="95"/>
      <c r="AJ115" s="95"/>
      <c r="AK115" s="95"/>
      <c r="AL115" s="95"/>
      <c r="AM115" s="162"/>
      <c r="AN115" s="162"/>
      <c r="AO115" s="162"/>
      <c r="AP115" s="166">
        <v>8513</v>
      </c>
      <c r="AQ115" s="166">
        <v>20304</v>
      </c>
      <c r="AR115" s="166">
        <f t="shared" si="27"/>
        <v>5</v>
      </c>
      <c r="AS115" s="169">
        <f t="shared" si="28"/>
        <v>40</v>
      </c>
      <c r="AT115" s="168"/>
    </row>
    <row r="116" s="116" customFormat="1" ht="57" spans="1:46">
      <c r="A116" s="131" t="s">
        <v>722</v>
      </c>
      <c r="B116" s="131" t="s">
        <v>734</v>
      </c>
      <c r="C116" s="131" t="s">
        <v>735</v>
      </c>
      <c r="D116" s="133" t="s">
        <v>736</v>
      </c>
      <c r="E116" s="133" t="s">
        <v>737</v>
      </c>
      <c r="F116" s="133" t="s">
        <v>749</v>
      </c>
      <c r="G116" s="133"/>
      <c r="H116" s="133" t="s">
        <v>1064</v>
      </c>
      <c r="I116" s="133" t="s">
        <v>1065</v>
      </c>
      <c r="J116" s="139" t="s">
        <v>915</v>
      </c>
      <c r="K116" s="133" t="s">
        <v>1020</v>
      </c>
      <c r="L116" s="131" t="s">
        <v>724</v>
      </c>
      <c r="M116" s="131" t="s">
        <v>724</v>
      </c>
      <c r="N116" s="131" t="s">
        <v>735</v>
      </c>
      <c r="O116" s="133" t="s">
        <v>1021</v>
      </c>
      <c r="P116" s="133" t="s">
        <v>1055</v>
      </c>
      <c r="Q116" s="132" t="s">
        <v>717</v>
      </c>
      <c r="R116" s="132" t="s">
        <v>717</v>
      </c>
      <c r="S116" s="132">
        <v>1</v>
      </c>
      <c r="T116" s="132">
        <v>1</v>
      </c>
      <c r="U116" s="95">
        <v>1</v>
      </c>
      <c r="V116" s="133">
        <v>2026</v>
      </c>
      <c r="W116" s="140">
        <v>46112</v>
      </c>
      <c r="X116" s="141" t="s">
        <v>746</v>
      </c>
      <c r="Y116" s="95"/>
      <c r="Z116" s="95">
        <v>2</v>
      </c>
      <c r="AA116" s="95"/>
      <c r="AB116" s="95"/>
      <c r="AC116" s="95"/>
      <c r="AD116" s="95"/>
      <c r="AE116" s="154">
        <v>46023</v>
      </c>
      <c r="AF116" s="154">
        <v>46112</v>
      </c>
      <c r="AG116" s="95"/>
      <c r="AH116" s="95"/>
      <c r="AI116" s="95"/>
      <c r="AJ116" s="95"/>
      <c r="AK116" s="95"/>
      <c r="AL116" s="95"/>
      <c r="AM116" s="162"/>
      <c r="AN116" s="162"/>
      <c r="AO116" s="162"/>
      <c r="AP116" s="166">
        <v>8514</v>
      </c>
      <c r="AQ116" s="166">
        <v>20305</v>
      </c>
      <c r="AR116" s="166">
        <f t="shared" si="27"/>
        <v>2</v>
      </c>
      <c r="AS116" s="169">
        <f t="shared" si="28"/>
        <v>16</v>
      </c>
      <c r="AT116" s="168"/>
    </row>
    <row r="117" s="116" customFormat="1" ht="57" spans="1:46">
      <c r="A117" s="131" t="s">
        <v>722</v>
      </c>
      <c r="B117" s="131" t="s">
        <v>734</v>
      </c>
      <c r="C117" s="131" t="s">
        <v>735</v>
      </c>
      <c r="D117" s="133" t="s">
        <v>736</v>
      </c>
      <c r="E117" s="133" t="s">
        <v>737</v>
      </c>
      <c r="F117" s="133" t="s">
        <v>749</v>
      </c>
      <c r="G117" s="133"/>
      <c r="H117" s="133" t="s">
        <v>1066</v>
      </c>
      <c r="I117" s="133" t="s">
        <v>1067</v>
      </c>
      <c r="J117" s="139" t="s">
        <v>915</v>
      </c>
      <c r="K117" s="133" t="s">
        <v>1020</v>
      </c>
      <c r="L117" s="131" t="s">
        <v>724</v>
      </c>
      <c r="M117" s="131" t="s">
        <v>724</v>
      </c>
      <c r="N117" s="131" t="s">
        <v>735</v>
      </c>
      <c r="O117" s="133" t="s">
        <v>1021</v>
      </c>
      <c r="P117" s="133" t="s">
        <v>1055</v>
      </c>
      <c r="Q117" s="132" t="s">
        <v>717</v>
      </c>
      <c r="R117" s="132" t="s">
        <v>717</v>
      </c>
      <c r="S117" s="132">
        <v>1</v>
      </c>
      <c r="T117" s="132">
        <v>1</v>
      </c>
      <c r="U117" s="95">
        <v>1</v>
      </c>
      <c r="V117" s="133">
        <v>2026</v>
      </c>
      <c r="W117" s="140">
        <v>46112</v>
      </c>
      <c r="X117" s="141" t="s">
        <v>746</v>
      </c>
      <c r="Y117" s="95"/>
      <c r="Z117" s="95">
        <v>3</v>
      </c>
      <c r="AA117" s="95"/>
      <c r="AB117" s="95"/>
      <c r="AC117" s="95"/>
      <c r="AD117" s="95"/>
      <c r="AE117" s="154">
        <v>46023</v>
      </c>
      <c r="AF117" s="154">
        <v>46112</v>
      </c>
      <c r="AG117" s="95"/>
      <c r="AH117" s="95"/>
      <c r="AI117" s="95"/>
      <c r="AJ117" s="95"/>
      <c r="AK117" s="95"/>
      <c r="AL117" s="95"/>
      <c r="AM117" s="162"/>
      <c r="AN117" s="162"/>
      <c r="AO117" s="162"/>
      <c r="AP117" s="166">
        <v>8515</v>
      </c>
      <c r="AQ117" s="166">
        <v>20306</v>
      </c>
      <c r="AR117" s="166">
        <f t="shared" si="27"/>
        <v>3</v>
      </c>
      <c r="AS117" s="169">
        <f t="shared" si="28"/>
        <v>24</v>
      </c>
      <c r="AT117" s="168"/>
    </row>
    <row r="118" s="116" customFormat="1" ht="57" spans="1:46">
      <c r="A118" s="131" t="s">
        <v>722</v>
      </c>
      <c r="B118" s="131" t="s">
        <v>734</v>
      </c>
      <c r="C118" s="131" t="s">
        <v>735</v>
      </c>
      <c r="D118" s="133" t="s">
        <v>736</v>
      </c>
      <c r="E118" s="133" t="s">
        <v>737</v>
      </c>
      <c r="F118" s="133" t="s">
        <v>749</v>
      </c>
      <c r="G118" s="133"/>
      <c r="H118" s="133" t="s">
        <v>1068</v>
      </c>
      <c r="I118" s="133" t="s">
        <v>1069</v>
      </c>
      <c r="J118" s="139" t="s">
        <v>915</v>
      </c>
      <c r="K118" s="133" t="s">
        <v>1020</v>
      </c>
      <c r="L118" s="131" t="s">
        <v>724</v>
      </c>
      <c r="M118" s="131" t="s">
        <v>724</v>
      </c>
      <c r="N118" s="131" t="s">
        <v>735</v>
      </c>
      <c r="O118" s="133" t="s">
        <v>1021</v>
      </c>
      <c r="P118" s="133" t="s">
        <v>1055</v>
      </c>
      <c r="Q118" s="132" t="s">
        <v>717</v>
      </c>
      <c r="R118" s="132" t="s">
        <v>717</v>
      </c>
      <c r="S118" s="132">
        <v>1</v>
      </c>
      <c r="T118" s="132">
        <v>1</v>
      </c>
      <c r="U118" s="95">
        <v>1</v>
      </c>
      <c r="V118" s="133">
        <v>2026</v>
      </c>
      <c r="W118" s="140">
        <v>46112</v>
      </c>
      <c r="X118" s="141" t="s">
        <v>746</v>
      </c>
      <c r="Y118" s="95"/>
      <c r="Z118" s="95">
        <v>5</v>
      </c>
      <c r="AA118" s="95"/>
      <c r="AB118" s="95"/>
      <c r="AC118" s="95"/>
      <c r="AD118" s="95"/>
      <c r="AE118" s="154">
        <v>46023</v>
      </c>
      <c r="AF118" s="154">
        <v>46112</v>
      </c>
      <c r="AG118" s="95"/>
      <c r="AH118" s="95"/>
      <c r="AI118" s="95"/>
      <c r="AJ118" s="95"/>
      <c r="AK118" s="95"/>
      <c r="AL118" s="95"/>
      <c r="AM118" s="162"/>
      <c r="AN118" s="162"/>
      <c r="AO118" s="162"/>
      <c r="AP118" s="166">
        <v>8516</v>
      </c>
      <c r="AQ118" s="166">
        <v>20307</v>
      </c>
      <c r="AR118" s="166">
        <f t="shared" si="27"/>
        <v>5</v>
      </c>
      <c r="AS118" s="169">
        <f t="shared" si="28"/>
        <v>40</v>
      </c>
      <c r="AT118" s="168"/>
    </row>
    <row r="119" s="116" customFormat="1" ht="57" spans="1:46">
      <c r="A119" s="131" t="s">
        <v>722</v>
      </c>
      <c r="B119" s="131" t="s">
        <v>734</v>
      </c>
      <c r="C119" s="131" t="s">
        <v>735</v>
      </c>
      <c r="D119" s="133" t="s">
        <v>736</v>
      </c>
      <c r="E119" s="133" t="s">
        <v>737</v>
      </c>
      <c r="F119" s="133" t="s">
        <v>749</v>
      </c>
      <c r="G119" s="133"/>
      <c r="H119" s="133" t="s">
        <v>1070</v>
      </c>
      <c r="I119" s="133" t="s">
        <v>1054</v>
      </c>
      <c r="J119" s="139" t="s">
        <v>915</v>
      </c>
      <c r="K119" s="133" t="s">
        <v>1020</v>
      </c>
      <c r="L119" s="131" t="s">
        <v>724</v>
      </c>
      <c r="M119" s="131" t="s">
        <v>724</v>
      </c>
      <c r="N119" s="131" t="s">
        <v>735</v>
      </c>
      <c r="O119" s="133" t="s">
        <v>1021</v>
      </c>
      <c r="P119" s="133" t="s">
        <v>1055</v>
      </c>
      <c r="Q119" s="132" t="s">
        <v>717</v>
      </c>
      <c r="R119" s="132" t="s">
        <v>717</v>
      </c>
      <c r="S119" s="132">
        <v>1</v>
      </c>
      <c r="T119" s="132">
        <v>1</v>
      </c>
      <c r="U119" s="95">
        <v>1</v>
      </c>
      <c r="V119" s="133">
        <v>2026</v>
      </c>
      <c r="W119" s="140">
        <v>46112</v>
      </c>
      <c r="X119" s="141" t="s">
        <v>746</v>
      </c>
      <c r="Y119" s="95"/>
      <c r="Z119" s="95">
        <v>10</v>
      </c>
      <c r="AA119" s="95"/>
      <c r="AB119" s="95"/>
      <c r="AC119" s="95"/>
      <c r="AD119" s="95"/>
      <c r="AE119" s="154">
        <v>46023</v>
      </c>
      <c r="AF119" s="154">
        <v>46112</v>
      </c>
      <c r="AG119" s="95"/>
      <c r="AH119" s="95"/>
      <c r="AI119" s="95"/>
      <c r="AJ119" s="95"/>
      <c r="AK119" s="95"/>
      <c r="AL119" s="95"/>
      <c r="AM119" s="162"/>
      <c r="AN119" s="162"/>
      <c r="AO119" s="162"/>
      <c r="AP119" s="166">
        <v>8230</v>
      </c>
      <c r="AQ119" s="166">
        <v>20011</v>
      </c>
      <c r="AR119" s="166">
        <f t="shared" si="27"/>
        <v>10</v>
      </c>
      <c r="AS119" s="169">
        <f t="shared" si="28"/>
        <v>80</v>
      </c>
      <c r="AT119" s="168"/>
    </row>
    <row r="120" s="116" customFormat="1" ht="42.75" hidden="1" spans="1:46">
      <c r="A120" s="135" t="s">
        <v>825</v>
      </c>
      <c r="B120" s="135" t="s">
        <v>734</v>
      </c>
      <c r="C120" s="135" t="s">
        <v>724</v>
      </c>
      <c r="D120" s="136" t="s">
        <v>1071</v>
      </c>
      <c r="E120" s="136" t="s">
        <v>1072</v>
      </c>
      <c r="F120" s="136" t="s">
        <v>738</v>
      </c>
      <c r="G120" s="136"/>
      <c r="H120" s="136" t="s">
        <v>1073</v>
      </c>
      <c r="I120" s="136" t="s">
        <v>1074</v>
      </c>
      <c r="J120" s="136" t="s">
        <v>730</v>
      </c>
      <c r="K120" s="136" t="s">
        <v>730</v>
      </c>
      <c r="L120" s="136" t="s">
        <v>724</v>
      </c>
      <c r="M120" s="136" t="s">
        <v>724</v>
      </c>
      <c r="N120" s="136" t="s">
        <v>724</v>
      </c>
      <c r="O120" s="136" t="s">
        <v>744</v>
      </c>
      <c r="P120" s="172" t="s">
        <v>1075</v>
      </c>
      <c r="Q120" s="178" t="s">
        <v>755</v>
      </c>
      <c r="R120" s="172" t="s">
        <v>718</v>
      </c>
      <c r="S120" s="135">
        <v>1</v>
      </c>
      <c r="T120" s="135">
        <v>2</v>
      </c>
      <c r="U120" s="135">
        <v>2</v>
      </c>
      <c r="V120" s="172">
        <v>2026</v>
      </c>
      <c r="W120" s="179">
        <v>46112</v>
      </c>
      <c r="X120" s="146" t="s">
        <v>1076</v>
      </c>
      <c r="Y120" s="185">
        <v>2</v>
      </c>
      <c r="Z120" s="135"/>
      <c r="AA120" s="135"/>
      <c r="AB120" s="135"/>
      <c r="AC120" s="135"/>
      <c r="AD120" s="135"/>
      <c r="AE120" s="186">
        <v>46023</v>
      </c>
      <c r="AF120" s="186">
        <v>46112</v>
      </c>
      <c r="AG120" s="184"/>
      <c r="AH120" s="184"/>
      <c r="AI120" s="184"/>
      <c r="AJ120" s="184"/>
      <c r="AK120" s="184"/>
      <c r="AL120" s="184"/>
      <c r="AM120" s="188"/>
      <c r="AN120" s="188"/>
      <c r="AO120" s="188"/>
      <c r="AP120" s="166">
        <v>8882</v>
      </c>
      <c r="AQ120" s="166">
        <v>20866</v>
      </c>
      <c r="AR120" s="166">
        <f t="shared" si="27"/>
        <v>2</v>
      </c>
      <c r="AS120" s="169">
        <f t="shared" si="28"/>
        <v>16</v>
      </c>
      <c r="AT120" s="168" t="s">
        <v>1077</v>
      </c>
    </row>
    <row r="121" s="116" customFormat="1" ht="114" hidden="1" spans="1:46">
      <c r="A121" s="135" t="s">
        <v>825</v>
      </c>
      <c r="B121" s="135" t="s">
        <v>734</v>
      </c>
      <c r="C121" s="135" t="s">
        <v>724</v>
      </c>
      <c r="D121" s="136" t="s">
        <v>1071</v>
      </c>
      <c r="E121" s="136" t="s">
        <v>1078</v>
      </c>
      <c r="F121" s="136" t="s">
        <v>738</v>
      </c>
      <c r="G121" s="136"/>
      <c r="H121" s="136" t="s">
        <v>1079</v>
      </c>
      <c r="I121" s="136" t="s">
        <v>1080</v>
      </c>
      <c r="J121" s="136" t="s">
        <v>730</v>
      </c>
      <c r="K121" s="136" t="s">
        <v>730</v>
      </c>
      <c r="L121" s="136" t="s">
        <v>724</v>
      </c>
      <c r="M121" s="136" t="s">
        <v>724</v>
      </c>
      <c r="N121" s="136" t="s">
        <v>724</v>
      </c>
      <c r="O121" s="136" t="s">
        <v>744</v>
      </c>
      <c r="P121" s="172" t="s">
        <v>1075</v>
      </c>
      <c r="Q121" s="178" t="s">
        <v>755</v>
      </c>
      <c r="R121" s="172" t="s">
        <v>718</v>
      </c>
      <c r="S121" s="135">
        <v>1</v>
      </c>
      <c r="T121" s="135">
        <v>2</v>
      </c>
      <c r="U121" s="135">
        <v>2</v>
      </c>
      <c r="V121" s="172">
        <v>2026</v>
      </c>
      <c r="W121" s="179">
        <v>46112</v>
      </c>
      <c r="X121" s="146" t="s">
        <v>1076</v>
      </c>
      <c r="Y121" s="185">
        <v>2</v>
      </c>
      <c r="Z121" s="135"/>
      <c r="AA121" s="135"/>
      <c r="AB121" s="135"/>
      <c r="AC121" s="135"/>
      <c r="AD121" s="135"/>
      <c r="AE121" s="186">
        <v>46023</v>
      </c>
      <c r="AF121" s="186">
        <v>46112</v>
      </c>
      <c r="AG121" s="184"/>
      <c r="AH121" s="184"/>
      <c r="AI121" s="184"/>
      <c r="AJ121" s="184"/>
      <c r="AK121" s="184"/>
      <c r="AL121" s="184"/>
      <c r="AM121" s="188"/>
      <c r="AN121" s="188"/>
      <c r="AO121" s="188"/>
      <c r="AP121" s="166">
        <v>8883</v>
      </c>
      <c r="AQ121" s="166">
        <v>20867</v>
      </c>
      <c r="AR121" s="166">
        <f t="shared" si="27"/>
        <v>2</v>
      </c>
      <c r="AS121" s="169">
        <f t="shared" si="28"/>
        <v>16</v>
      </c>
      <c r="AT121" s="168" t="s">
        <v>1081</v>
      </c>
    </row>
    <row r="122" s="116" customFormat="1" ht="114" spans="1:46">
      <c r="A122" s="135" t="s">
        <v>722</v>
      </c>
      <c r="B122" s="135" t="s">
        <v>734</v>
      </c>
      <c r="C122" s="135" t="s">
        <v>735</v>
      </c>
      <c r="D122" s="136" t="s">
        <v>736</v>
      </c>
      <c r="E122" s="136" t="s">
        <v>737</v>
      </c>
      <c r="F122" s="136" t="s">
        <v>738</v>
      </c>
      <c r="G122" s="136"/>
      <c r="H122" s="136" t="s">
        <v>1082</v>
      </c>
      <c r="I122" s="136" t="s">
        <v>1080</v>
      </c>
      <c r="J122" s="136" t="s">
        <v>730</v>
      </c>
      <c r="K122" s="136" t="s">
        <v>730</v>
      </c>
      <c r="L122" s="136" t="s">
        <v>724</v>
      </c>
      <c r="M122" s="136" t="s">
        <v>724</v>
      </c>
      <c r="N122" s="136" t="s">
        <v>735</v>
      </c>
      <c r="O122" s="136" t="s">
        <v>744</v>
      </c>
      <c r="P122" s="172" t="s">
        <v>1075</v>
      </c>
      <c r="Q122" s="178" t="s">
        <v>755</v>
      </c>
      <c r="R122" s="172" t="s">
        <v>718</v>
      </c>
      <c r="S122" s="135">
        <v>1</v>
      </c>
      <c r="T122" s="135">
        <v>2</v>
      </c>
      <c r="U122" s="135">
        <v>2</v>
      </c>
      <c r="V122" s="172">
        <v>2026</v>
      </c>
      <c r="W122" s="179">
        <v>46112</v>
      </c>
      <c r="X122" s="146" t="s">
        <v>746</v>
      </c>
      <c r="Y122" s="172">
        <v>15</v>
      </c>
      <c r="Z122" s="135"/>
      <c r="AA122" s="135"/>
      <c r="AB122" s="135"/>
      <c r="AC122" s="135"/>
      <c r="AD122" s="135"/>
      <c r="AE122" s="186">
        <v>46023</v>
      </c>
      <c r="AF122" s="186">
        <v>46112</v>
      </c>
      <c r="AG122" s="184"/>
      <c r="AH122" s="184"/>
      <c r="AI122" s="184"/>
      <c r="AJ122" s="184"/>
      <c r="AK122" s="184"/>
      <c r="AL122" s="184"/>
      <c r="AM122" s="188"/>
      <c r="AN122" s="188"/>
      <c r="AO122" s="188"/>
      <c r="AP122" s="166">
        <v>8870</v>
      </c>
      <c r="AQ122" s="166">
        <v>20871</v>
      </c>
      <c r="AR122" s="166">
        <f t="shared" si="27"/>
        <v>15</v>
      </c>
      <c r="AS122" s="169">
        <f t="shared" si="28"/>
        <v>120</v>
      </c>
      <c r="AT122" s="168"/>
    </row>
    <row r="123" s="116" customFormat="1" ht="57" hidden="1" spans="1:46">
      <c r="A123" s="135" t="s">
        <v>722</v>
      </c>
      <c r="B123" s="135" t="s">
        <v>734</v>
      </c>
      <c r="C123" s="135" t="s">
        <v>735</v>
      </c>
      <c r="D123" s="136" t="s">
        <v>1083</v>
      </c>
      <c r="E123" s="136" t="s">
        <v>847</v>
      </c>
      <c r="F123" s="136" t="s">
        <v>738</v>
      </c>
      <c r="G123" s="136"/>
      <c r="H123" s="136" t="s">
        <v>1084</v>
      </c>
      <c r="I123" s="136" t="s">
        <v>1085</v>
      </c>
      <c r="J123" s="136" t="s">
        <v>1086</v>
      </c>
      <c r="K123" s="136" t="s">
        <v>743</v>
      </c>
      <c r="L123" s="136" t="s">
        <v>724</v>
      </c>
      <c r="M123" s="136" t="s">
        <v>724</v>
      </c>
      <c r="N123" s="136" t="s">
        <v>724</v>
      </c>
      <c r="O123" s="136" t="s">
        <v>744</v>
      </c>
      <c r="P123" s="172" t="s">
        <v>1075</v>
      </c>
      <c r="Q123" s="178" t="s">
        <v>755</v>
      </c>
      <c r="R123" s="172" t="s">
        <v>718</v>
      </c>
      <c r="S123" s="135">
        <v>1</v>
      </c>
      <c r="T123" s="135">
        <v>2</v>
      </c>
      <c r="U123" s="135">
        <v>2</v>
      </c>
      <c r="V123" s="172">
        <v>2026</v>
      </c>
      <c r="W123" s="179">
        <v>46112</v>
      </c>
      <c r="X123" s="146" t="s">
        <v>852</v>
      </c>
      <c r="Y123" s="172">
        <v>18</v>
      </c>
      <c r="Z123" s="135"/>
      <c r="AA123" s="135"/>
      <c r="AB123" s="135"/>
      <c r="AC123" s="135"/>
      <c r="AD123" s="135"/>
      <c r="AE123" s="186">
        <v>46023</v>
      </c>
      <c r="AF123" s="186">
        <v>46112</v>
      </c>
      <c r="AG123" s="184"/>
      <c r="AH123" s="184"/>
      <c r="AI123" s="184"/>
      <c r="AJ123" s="184"/>
      <c r="AK123" s="184"/>
      <c r="AL123" s="184"/>
      <c r="AM123" s="188"/>
      <c r="AN123" s="188"/>
      <c r="AO123" s="188"/>
      <c r="AP123" s="166">
        <v>8869</v>
      </c>
      <c r="AQ123" s="166">
        <v>20870</v>
      </c>
      <c r="AR123" s="166">
        <f t="shared" si="27"/>
        <v>18</v>
      </c>
      <c r="AS123" s="169">
        <f t="shared" si="28"/>
        <v>144</v>
      </c>
      <c r="AT123" s="168"/>
    </row>
    <row r="124" s="116" customFormat="1" ht="42.75" hidden="1" spans="1:46">
      <c r="A124" s="135" t="s">
        <v>722</v>
      </c>
      <c r="B124" s="135" t="s">
        <v>723</v>
      </c>
      <c r="C124" s="135" t="s">
        <v>735</v>
      </c>
      <c r="D124" s="136" t="s">
        <v>736</v>
      </c>
      <c r="E124" s="136" t="s">
        <v>737</v>
      </c>
      <c r="F124" s="136" t="s">
        <v>869</v>
      </c>
      <c r="G124" s="136"/>
      <c r="H124" s="136" t="s">
        <v>1087</v>
      </c>
      <c r="I124" s="136" t="s">
        <v>1088</v>
      </c>
      <c r="J124" s="136" t="s">
        <v>909</v>
      </c>
      <c r="K124" s="136" t="s">
        <v>730</v>
      </c>
      <c r="L124" s="136" t="s">
        <v>724</v>
      </c>
      <c r="M124" s="136" t="s">
        <v>724</v>
      </c>
      <c r="N124" s="136" t="s">
        <v>724</v>
      </c>
      <c r="O124" s="136" t="s">
        <v>19</v>
      </c>
      <c r="P124" s="136" t="s">
        <v>910</v>
      </c>
      <c r="Q124" s="136" t="s">
        <v>718</v>
      </c>
      <c r="R124" s="136" t="s">
        <v>718</v>
      </c>
      <c r="S124" s="136"/>
      <c r="T124" s="136"/>
      <c r="U124" s="135"/>
      <c r="V124" s="136">
        <v>2026</v>
      </c>
      <c r="W124" s="145">
        <v>46112</v>
      </c>
      <c r="X124" s="146" t="s">
        <v>746</v>
      </c>
      <c r="Y124" s="135"/>
      <c r="Z124" s="135"/>
      <c r="AA124" s="135">
        <v>38</v>
      </c>
      <c r="AB124" s="135"/>
      <c r="AC124" s="135"/>
      <c r="AD124" s="135"/>
      <c r="AE124" s="157">
        <v>46023</v>
      </c>
      <c r="AF124" s="157">
        <v>46112</v>
      </c>
      <c r="AG124" s="184"/>
      <c r="AH124" s="184"/>
      <c r="AI124" s="184"/>
      <c r="AJ124" s="184"/>
      <c r="AK124" s="184"/>
      <c r="AL124" s="184"/>
      <c r="AM124" s="188"/>
      <c r="AN124" s="188"/>
      <c r="AO124" s="188"/>
      <c r="AP124" s="166">
        <v>8871</v>
      </c>
      <c r="AQ124" s="166">
        <v>20872</v>
      </c>
      <c r="AR124" s="166">
        <f t="shared" si="27"/>
        <v>38</v>
      </c>
      <c r="AS124" s="169">
        <f t="shared" si="28"/>
        <v>304</v>
      </c>
      <c r="AT124" s="168"/>
    </row>
    <row r="125" s="116" customFormat="1" ht="57" hidden="1" spans="1:46">
      <c r="A125" s="135" t="s">
        <v>722</v>
      </c>
      <c r="B125" s="135" t="s">
        <v>734</v>
      </c>
      <c r="C125" s="135" t="s">
        <v>735</v>
      </c>
      <c r="D125" s="136" t="s">
        <v>1089</v>
      </c>
      <c r="E125" s="136" t="s">
        <v>1090</v>
      </c>
      <c r="F125" s="136" t="s">
        <v>1090</v>
      </c>
      <c r="G125" s="136"/>
      <c r="H125" s="136" t="s">
        <v>1090</v>
      </c>
      <c r="I125" s="136" t="s">
        <v>1090</v>
      </c>
      <c r="J125" s="136" t="s">
        <v>909</v>
      </c>
      <c r="K125" s="136" t="s">
        <v>730</v>
      </c>
      <c r="L125" s="136" t="s">
        <v>724</v>
      </c>
      <c r="M125" s="136" t="s">
        <v>724</v>
      </c>
      <c r="N125" s="136" t="s">
        <v>724</v>
      </c>
      <c r="O125" s="135" t="s">
        <v>730</v>
      </c>
      <c r="P125" s="136" t="s">
        <v>910</v>
      </c>
      <c r="Q125" s="136" t="s">
        <v>718</v>
      </c>
      <c r="R125" s="136" t="s">
        <v>718</v>
      </c>
      <c r="S125" s="136"/>
      <c r="T125" s="136"/>
      <c r="U125" s="135"/>
      <c r="V125" s="136">
        <v>2026</v>
      </c>
      <c r="W125" s="145">
        <v>46112</v>
      </c>
      <c r="X125" s="146" t="s">
        <v>1091</v>
      </c>
      <c r="Y125" s="135"/>
      <c r="Z125" s="135"/>
      <c r="AA125" s="135">
        <v>22</v>
      </c>
      <c r="AB125" s="135"/>
      <c r="AC125" s="135"/>
      <c r="AD125" s="135"/>
      <c r="AE125" s="157">
        <v>46023</v>
      </c>
      <c r="AF125" s="157">
        <v>46112</v>
      </c>
      <c r="AG125" s="184"/>
      <c r="AH125" s="184"/>
      <c r="AI125" s="184"/>
      <c r="AJ125" s="184"/>
      <c r="AK125" s="184"/>
      <c r="AL125" s="184"/>
      <c r="AM125" s="188"/>
      <c r="AN125" s="188"/>
      <c r="AO125" s="188"/>
      <c r="AP125" s="166">
        <v>8873</v>
      </c>
      <c r="AQ125" s="166">
        <v>20868</v>
      </c>
      <c r="AR125" s="166">
        <f t="shared" si="27"/>
        <v>22</v>
      </c>
      <c r="AS125" s="169">
        <f t="shared" si="28"/>
        <v>176</v>
      </c>
      <c r="AT125" s="168"/>
    </row>
    <row r="126" s="116" customFormat="1" ht="57" hidden="1" spans="1:46">
      <c r="A126" s="135" t="s">
        <v>722</v>
      </c>
      <c r="B126" s="135" t="s">
        <v>734</v>
      </c>
      <c r="C126" s="135" t="s">
        <v>735</v>
      </c>
      <c r="D126" s="136" t="s">
        <v>747</v>
      </c>
      <c r="E126" s="136" t="s">
        <v>1092</v>
      </c>
      <c r="F126" s="136" t="s">
        <v>749</v>
      </c>
      <c r="G126" s="136"/>
      <c r="H126" s="136" t="s">
        <v>1093</v>
      </c>
      <c r="I126" s="136" t="s">
        <v>1094</v>
      </c>
      <c r="J126" s="171" t="s">
        <v>915</v>
      </c>
      <c r="K126" s="136" t="s">
        <v>311</v>
      </c>
      <c r="L126" s="135" t="s">
        <v>724</v>
      </c>
      <c r="M126" s="135" t="s">
        <v>724</v>
      </c>
      <c r="N126" s="135" t="s">
        <v>724</v>
      </c>
      <c r="O126" s="136" t="s">
        <v>19</v>
      </c>
      <c r="P126" s="136" t="s">
        <v>1033</v>
      </c>
      <c r="Q126" s="136" t="s">
        <v>718</v>
      </c>
      <c r="R126" s="180" t="s">
        <v>718</v>
      </c>
      <c r="S126" s="136">
        <v>0</v>
      </c>
      <c r="T126" s="136">
        <v>1</v>
      </c>
      <c r="U126" s="135">
        <v>0</v>
      </c>
      <c r="V126" s="136">
        <v>2026</v>
      </c>
      <c r="W126" s="177">
        <v>46112</v>
      </c>
      <c r="X126" s="146" t="s">
        <v>1095</v>
      </c>
      <c r="Y126" s="135"/>
      <c r="Z126" s="135"/>
      <c r="AA126" s="135">
        <v>25</v>
      </c>
      <c r="AB126" s="135"/>
      <c r="AC126" s="135"/>
      <c r="AD126" s="135"/>
      <c r="AE126" s="157">
        <v>46023</v>
      </c>
      <c r="AF126" s="157">
        <v>46112</v>
      </c>
      <c r="AG126" s="184"/>
      <c r="AH126" s="184"/>
      <c r="AI126" s="184"/>
      <c r="AJ126" s="184"/>
      <c r="AK126" s="184"/>
      <c r="AL126" s="184"/>
      <c r="AM126" s="188"/>
      <c r="AN126" s="188"/>
      <c r="AO126" s="188"/>
      <c r="AP126" s="166">
        <v>8917</v>
      </c>
      <c r="AQ126" s="166">
        <v>20951</v>
      </c>
      <c r="AR126" s="166">
        <f t="shared" si="27"/>
        <v>25</v>
      </c>
      <c r="AS126" s="169">
        <f t="shared" si="28"/>
        <v>200</v>
      </c>
      <c r="AT126" s="168"/>
    </row>
    <row r="127" s="117" customFormat="1" ht="99.75" hidden="1" spans="1:46">
      <c r="A127" s="135" t="s">
        <v>825</v>
      </c>
      <c r="B127" s="135" t="s">
        <v>734</v>
      </c>
      <c r="C127" s="135" t="s">
        <v>735</v>
      </c>
      <c r="D127" s="136" t="s">
        <v>846</v>
      </c>
      <c r="E127" s="136" t="s">
        <v>847</v>
      </c>
      <c r="F127" s="136" t="s">
        <v>793</v>
      </c>
      <c r="G127" s="136" t="s">
        <v>1096</v>
      </c>
      <c r="H127" s="136" t="s">
        <v>1097</v>
      </c>
      <c r="I127" s="136" t="s">
        <v>1098</v>
      </c>
      <c r="J127" s="136" t="s">
        <v>1099</v>
      </c>
      <c r="K127" s="136" t="s">
        <v>730</v>
      </c>
      <c r="L127" s="136" t="s">
        <v>724</v>
      </c>
      <c r="M127" s="136" t="s">
        <v>724</v>
      </c>
      <c r="N127" s="136" t="s">
        <v>724</v>
      </c>
      <c r="O127" s="136" t="s">
        <v>19</v>
      </c>
      <c r="P127" s="136" t="s">
        <v>811</v>
      </c>
      <c r="Q127" s="136" t="s">
        <v>717</v>
      </c>
      <c r="R127" s="136" t="s">
        <v>717</v>
      </c>
      <c r="S127" s="136"/>
      <c r="T127" s="135" t="s">
        <v>1100</v>
      </c>
      <c r="U127" s="135"/>
      <c r="V127" s="136">
        <v>2026</v>
      </c>
      <c r="W127" s="177">
        <v>46112</v>
      </c>
      <c r="X127" s="146" t="s">
        <v>852</v>
      </c>
      <c r="Y127" s="135"/>
      <c r="Z127" s="135">
        <v>20</v>
      </c>
      <c r="AA127" s="135"/>
      <c r="AB127" s="135"/>
      <c r="AC127" s="135"/>
      <c r="AD127" s="135"/>
      <c r="AE127" s="157">
        <v>46023</v>
      </c>
      <c r="AF127" s="157">
        <v>46112</v>
      </c>
      <c r="AG127" s="184"/>
      <c r="AH127" s="184"/>
      <c r="AI127" s="184"/>
      <c r="AJ127" s="184"/>
      <c r="AK127" s="184"/>
      <c r="AL127" s="184"/>
      <c r="AM127" s="188"/>
      <c r="AN127" s="188"/>
      <c r="AO127" s="188"/>
      <c r="AP127" s="176">
        <v>9091</v>
      </c>
      <c r="AQ127" s="176">
        <v>21447</v>
      </c>
      <c r="AR127" s="176"/>
      <c r="AS127" s="176"/>
      <c r="AT127" s="189" t="s">
        <v>1101</v>
      </c>
    </row>
    <row r="128" s="117" customFormat="1" ht="71.25" hidden="1" spans="1:46">
      <c r="A128" s="135" t="s">
        <v>722</v>
      </c>
      <c r="B128" s="135" t="s">
        <v>734</v>
      </c>
      <c r="C128" s="135" t="s">
        <v>735</v>
      </c>
      <c r="D128" s="136" t="s">
        <v>747</v>
      </c>
      <c r="E128" s="136" t="s">
        <v>748</v>
      </c>
      <c r="F128" s="136" t="s">
        <v>793</v>
      </c>
      <c r="G128" s="136" t="s">
        <v>1102</v>
      </c>
      <c r="H128" s="136" t="s">
        <v>1103</v>
      </c>
      <c r="I128" s="136" t="s">
        <v>1104</v>
      </c>
      <c r="J128" s="136" t="s">
        <v>1105</v>
      </c>
      <c r="K128" s="136" t="s">
        <v>730</v>
      </c>
      <c r="L128" s="136" t="s">
        <v>724</v>
      </c>
      <c r="M128" s="136" t="s">
        <v>724</v>
      </c>
      <c r="N128" s="136" t="s">
        <v>735</v>
      </c>
      <c r="O128" s="136" t="s">
        <v>19</v>
      </c>
      <c r="P128" s="136" t="s">
        <v>824</v>
      </c>
      <c r="Q128" s="136" t="s">
        <v>755</v>
      </c>
      <c r="R128" s="136" t="s">
        <v>717</v>
      </c>
      <c r="S128" s="136"/>
      <c r="T128" s="136">
        <v>1</v>
      </c>
      <c r="U128" s="135"/>
      <c r="V128" s="136">
        <v>2026</v>
      </c>
      <c r="W128" s="145">
        <v>46112</v>
      </c>
      <c r="X128" s="146" t="s">
        <v>756</v>
      </c>
      <c r="Y128" s="135">
        <v>3</v>
      </c>
      <c r="Z128" s="135"/>
      <c r="AA128" s="135"/>
      <c r="AB128" s="135"/>
      <c r="AC128" s="135"/>
      <c r="AD128" s="135"/>
      <c r="AE128" s="157">
        <v>46023</v>
      </c>
      <c r="AF128" s="157">
        <v>46112</v>
      </c>
      <c r="AG128" s="184"/>
      <c r="AH128" s="184"/>
      <c r="AI128" s="184"/>
      <c r="AJ128" s="184"/>
      <c r="AK128" s="184"/>
      <c r="AL128" s="184"/>
      <c r="AM128" s="188"/>
      <c r="AN128" s="188"/>
      <c r="AO128" s="188"/>
      <c r="AP128" s="176">
        <v>9089</v>
      </c>
      <c r="AQ128" s="176">
        <v>21462</v>
      </c>
      <c r="AR128" s="176"/>
      <c r="AS128" s="176"/>
      <c r="AT128" s="189" t="s">
        <v>1101</v>
      </c>
    </row>
    <row r="129" s="117" customFormat="1" ht="42.75" hidden="1" spans="1:46">
      <c r="A129" s="135" t="s">
        <v>722</v>
      </c>
      <c r="B129" s="135" t="s">
        <v>734</v>
      </c>
      <c r="C129" s="135" t="s">
        <v>735</v>
      </c>
      <c r="D129" s="136" t="s">
        <v>747</v>
      </c>
      <c r="E129" s="136" t="s">
        <v>932</v>
      </c>
      <c r="F129" s="136" t="s">
        <v>749</v>
      </c>
      <c r="G129" s="136" t="s">
        <v>1106</v>
      </c>
      <c r="H129" s="136" t="s">
        <v>1106</v>
      </c>
      <c r="I129" s="136" t="s">
        <v>1107</v>
      </c>
      <c r="J129" s="136" t="s">
        <v>1108</v>
      </c>
      <c r="K129" s="136" t="s">
        <v>730</v>
      </c>
      <c r="L129" s="136" t="s">
        <v>724</v>
      </c>
      <c r="M129" s="136" t="s">
        <v>724</v>
      </c>
      <c r="N129" s="136" t="s">
        <v>735</v>
      </c>
      <c r="O129" s="136" t="s">
        <v>744</v>
      </c>
      <c r="P129" s="136" t="s">
        <v>745</v>
      </c>
      <c r="Q129" s="136" t="s">
        <v>718</v>
      </c>
      <c r="R129" s="136" t="s">
        <v>718</v>
      </c>
      <c r="S129" s="136">
        <v>1</v>
      </c>
      <c r="T129" s="136">
        <v>2</v>
      </c>
      <c r="U129" s="135">
        <v>2</v>
      </c>
      <c r="V129" s="136">
        <v>2026</v>
      </c>
      <c r="W129" s="177">
        <v>46112</v>
      </c>
      <c r="X129" s="146" t="s">
        <v>937</v>
      </c>
      <c r="Y129" s="136"/>
      <c r="Z129" s="135"/>
      <c r="AA129" s="135">
        <v>5</v>
      </c>
      <c r="AB129" s="135"/>
      <c r="AC129" s="135"/>
      <c r="AD129" s="135"/>
      <c r="AE129" s="157">
        <v>46023</v>
      </c>
      <c r="AF129" s="157">
        <v>46112</v>
      </c>
      <c r="AG129" s="184"/>
      <c r="AH129" s="184"/>
      <c r="AI129" s="184"/>
      <c r="AJ129" s="184"/>
      <c r="AK129" s="184"/>
      <c r="AL129" s="184"/>
      <c r="AM129" s="188"/>
      <c r="AN129" s="188"/>
      <c r="AO129" s="188"/>
      <c r="AP129" s="176">
        <v>9088</v>
      </c>
      <c r="AQ129" s="176">
        <v>21446</v>
      </c>
      <c r="AR129" s="176"/>
      <c r="AS129" s="176"/>
      <c r="AT129" s="189" t="s">
        <v>1101</v>
      </c>
    </row>
    <row r="130" s="117" customFormat="1" ht="99.75" hidden="1" spans="1:46">
      <c r="A130" s="135" t="s">
        <v>722</v>
      </c>
      <c r="B130" s="135" t="s">
        <v>734</v>
      </c>
      <c r="C130" s="135" t="s">
        <v>735</v>
      </c>
      <c r="D130" s="136" t="s">
        <v>885</v>
      </c>
      <c r="E130" s="136" t="s">
        <v>886</v>
      </c>
      <c r="F130" s="136" t="s">
        <v>749</v>
      </c>
      <c r="G130" s="136"/>
      <c r="H130" s="136" t="s">
        <v>1109</v>
      </c>
      <c r="I130" s="136" t="s">
        <v>1110</v>
      </c>
      <c r="J130" s="136" t="s">
        <v>1016</v>
      </c>
      <c r="K130" s="136" t="s">
        <v>959</v>
      </c>
      <c r="L130" s="136" t="s">
        <v>724</v>
      </c>
      <c r="M130" s="136" t="s">
        <v>724</v>
      </c>
      <c r="N130" s="136" t="s">
        <v>735</v>
      </c>
      <c r="O130" s="136" t="s">
        <v>19</v>
      </c>
      <c r="P130" s="136" t="s">
        <v>960</v>
      </c>
      <c r="Q130" s="136" t="s">
        <v>717</v>
      </c>
      <c r="R130" s="136" t="s">
        <v>717</v>
      </c>
      <c r="S130" s="135" t="s">
        <v>1100</v>
      </c>
      <c r="T130" s="135" t="s">
        <v>1100</v>
      </c>
      <c r="U130" s="135" t="s">
        <v>1100</v>
      </c>
      <c r="V130" s="136">
        <v>2026</v>
      </c>
      <c r="W130" s="177">
        <v>45747</v>
      </c>
      <c r="X130" s="146" t="s">
        <v>891</v>
      </c>
      <c r="Y130" s="135"/>
      <c r="Z130" s="135">
        <v>3</v>
      </c>
      <c r="AA130" s="135"/>
      <c r="AB130" s="135"/>
      <c r="AC130" s="135"/>
      <c r="AD130" s="135"/>
      <c r="AE130" s="157">
        <v>46023</v>
      </c>
      <c r="AF130" s="157">
        <v>46112</v>
      </c>
      <c r="AG130" s="184"/>
      <c r="AH130" s="184"/>
      <c r="AI130" s="184"/>
      <c r="AJ130" s="184"/>
      <c r="AK130" s="184"/>
      <c r="AL130" s="184"/>
      <c r="AM130" s="188"/>
      <c r="AN130" s="188"/>
      <c r="AO130" s="188"/>
      <c r="AP130" s="176">
        <v>9086</v>
      </c>
      <c r="AQ130" s="176">
        <v>21452</v>
      </c>
      <c r="AR130" s="176"/>
      <c r="AS130" s="176"/>
      <c r="AT130" s="189" t="s">
        <v>1101</v>
      </c>
    </row>
    <row r="131" s="117" customFormat="1" ht="99.75" hidden="1" spans="1:46">
      <c r="A131" s="135" t="s">
        <v>722</v>
      </c>
      <c r="B131" s="135" t="s">
        <v>734</v>
      </c>
      <c r="C131" s="135" t="s">
        <v>735</v>
      </c>
      <c r="D131" s="136" t="s">
        <v>885</v>
      </c>
      <c r="E131" s="136" t="s">
        <v>886</v>
      </c>
      <c r="F131" s="136" t="s">
        <v>749</v>
      </c>
      <c r="G131" s="136"/>
      <c r="H131" s="136" t="s">
        <v>1111</v>
      </c>
      <c r="I131" s="136" t="s">
        <v>1112</v>
      </c>
      <c r="J131" s="136" t="s">
        <v>1016</v>
      </c>
      <c r="K131" s="136" t="s">
        <v>959</v>
      </c>
      <c r="L131" s="136" t="s">
        <v>724</v>
      </c>
      <c r="M131" s="136" t="s">
        <v>724</v>
      </c>
      <c r="N131" s="136" t="s">
        <v>735</v>
      </c>
      <c r="O131" s="136" t="s">
        <v>19</v>
      </c>
      <c r="P131" s="136" t="s">
        <v>960</v>
      </c>
      <c r="Q131" s="136" t="s">
        <v>717</v>
      </c>
      <c r="R131" s="136" t="s">
        <v>717</v>
      </c>
      <c r="S131" s="135" t="s">
        <v>1100</v>
      </c>
      <c r="T131" s="135" t="s">
        <v>1100</v>
      </c>
      <c r="U131" s="135" t="s">
        <v>1100</v>
      </c>
      <c r="V131" s="136">
        <v>2026</v>
      </c>
      <c r="W131" s="177">
        <v>45747</v>
      </c>
      <c r="X131" s="146" t="s">
        <v>891</v>
      </c>
      <c r="Y131" s="135"/>
      <c r="Z131" s="135">
        <v>3</v>
      </c>
      <c r="AA131" s="135"/>
      <c r="AB131" s="135"/>
      <c r="AC131" s="135"/>
      <c r="AD131" s="135"/>
      <c r="AE131" s="157">
        <v>46023</v>
      </c>
      <c r="AF131" s="157">
        <v>46112</v>
      </c>
      <c r="AG131" s="184"/>
      <c r="AH131" s="184"/>
      <c r="AI131" s="184"/>
      <c r="AJ131" s="184"/>
      <c r="AK131" s="184"/>
      <c r="AL131" s="184"/>
      <c r="AM131" s="188"/>
      <c r="AN131" s="188"/>
      <c r="AO131" s="188"/>
      <c r="AP131" s="176">
        <v>9087</v>
      </c>
      <c r="AQ131" s="176">
        <v>21453</v>
      </c>
      <c r="AR131" s="176"/>
      <c r="AS131" s="176"/>
      <c r="AT131" s="189" t="s">
        <v>1101</v>
      </c>
    </row>
    <row r="132" s="117" customFormat="1" ht="57" hidden="1" spans="1:46">
      <c r="A132" s="135" t="s">
        <v>825</v>
      </c>
      <c r="B132" s="136" t="s">
        <v>734</v>
      </c>
      <c r="C132" s="136" t="s">
        <v>735</v>
      </c>
      <c r="D132" s="136" t="s">
        <v>1113</v>
      </c>
      <c r="E132" s="136" t="s">
        <v>847</v>
      </c>
      <c r="F132" s="136" t="s">
        <v>749</v>
      </c>
      <c r="G132" s="136"/>
      <c r="H132" s="136" t="s">
        <v>1114</v>
      </c>
      <c r="I132" s="136" t="s">
        <v>1115</v>
      </c>
      <c r="J132" s="171" t="s">
        <v>915</v>
      </c>
      <c r="K132" s="136" t="s">
        <v>1020</v>
      </c>
      <c r="L132" s="135" t="s">
        <v>724</v>
      </c>
      <c r="M132" s="135" t="s">
        <v>724</v>
      </c>
      <c r="N132" s="136" t="s">
        <v>724</v>
      </c>
      <c r="O132" s="136" t="s">
        <v>1021</v>
      </c>
      <c r="P132" s="136" t="s">
        <v>1022</v>
      </c>
      <c r="Q132" s="176" t="s">
        <v>717</v>
      </c>
      <c r="R132" s="176" t="s">
        <v>717</v>
      </c>
      <c r="S132" s="176">
        <v>1</v>
      </c>
      <c r="T132" s="176">
        <v>1</v>
      </c>
      <c r="U132" s="184">
        <v>1</v>
      </c>
      <c r="V132" s="136">
        <v>2026</v>
      </c>
      <c r="W132" s="177">
        <v>46112</v>
      </c>
      <c r="X132" s="146" t="s">
        <v>852</v>
      </c>
      <c r="Y132" s="184"/>
      <c r="Z132" s="184">
        <v>3</v>
      </c>
      <c r="AA132" s="184"/>
      <c r="AB132" s="184"/>
      <c r="AC132" s="184"/>
      <c r="AD132" s="184"/>
      <c r="AE132" s="204">
        <v>46023</v>
      </c>
      <c r="AF132" s="204">
        <v>45747</v>
      </c>
      <c r="AG132" s="184"/>
      <c r="AH132" s="184"/>
      <c r="AI132" s="184"/>
      <c r="AJ132" s="184"/>
      <c r="AK132" s="184"/>
      <c r="AL132" s="184"/>
      <c r="AM132" s="188"/>
      <c r="AN132" s="188"/>
      <c r="AO132" s="188"/>
      <c r="AP132" s="176">
        <v>9092</v>
      </c>
      <c r="AQ132" s="176">
        <v>21448</v>
      </c>
      <c r="AR132" s="176"/>
      <c r="AS132" s="176"/>
      <c r="AT132" s="189" t="s">
        <v>1101</v>
      </c>
    </row>
    <row r="133" s="117" customFormat="1" ht="57" hidden="1" spans="1:46">
      <c r="A133" s="135" t="s">
        <v>825</v>
      </c>
      <c r="B133" s="136" t="s">
        <v>734</v>
      </c>
      <c r="C133" s="136" t="s">
        <v>735</v>
      </c>
      <c r="D133" s="136" t="s">
        <v>1113</v>
      </c>
      <c r="E133" s="136" t="s">
        <v>847</v>
      </c>
      <c r="F133" s="136" t="s">
        <v>749</v>
      </c>
      <c r="G133" s="136"/>
      <c r="H133" s="136" t="s">
        <v>1116</v>
      </c>
      <c r="I133" s="136" t="s">
        <v>1117</v>
      </c>
      <c r="J133" s="171" t="s">
        <v>915</v>
      </c>
      <c r="K133" s="136" t="s">
        <v>1020</v>
      </c>
      <c r="L133" s="135" t="s">
        <v>724</v>
      </c>
      <c r="M133" s="135" t="s">
        <v>724</v>
      </c>
      <c r="N133" s="136" t="s">
        <v>724</v>
      </c>
      <c r="O133" s="136" t="s">
        <v>1021</v>
      </c>
      <c r="P133" s="136" t="s">
        <v>1022</v>
      </c>
      <c r="Q133" s="176" t="s">
        <v>717</v>
      </c>
      <c r="R133" s="176" t="s">
        <v>717</v>
      </c>
      <c r="S133" s="176">
        <v>1</v>
      </c>
      <c r="T133" s="176">
        <v>1</v>
      </c>
      <c r="U133" s="184">
        <v>1</v>
      </c>
      <c r="V133" s="136">
        <v>2026</v>
      </c>
      <c r="W133" s="177">
        <v>46112</v>
      </c>
      <c r="X133" s="146" t="s">
        <v>852</v>
      </c>
      <c r="Y133" s="184"/>
      <c r="Z133" s="184">
        <v>10</v>
      </c>
      <c r="AA133" s="184"/>
      <c r="AB133" s="184"/>
      <c r="AC133" s="184"/>
      <c r="AD133" s="184"/>
      <c r="AE133" s="204">
        <v>46023</v>
      </c>
      <c r="AF133" s="204">
        <v>45747</v>
      </c>
      <c r="AG133" s="184"/>
      <c r="AH133" s="184"/>
      <c r="AI133" s="184"/>
      <c r="AJ133" s="184"/>
      <c r="AK133" s="184"/>
      <c r="AL133" s="184"/>
      <c r="AM133" s="188"/>
      <c r="AN133" s="188"/>
      <c r="AO133" s="188"/>
      <c r="AP133" s="176">
        <v>9093</v>
      </c>
      <c r="AQ133" s="176">
        <v>21449</v>
      </c>
      <c r="AR133" s="176"/>
      <c r="AS133" s="176"/>
      <c r="AT133" s="189" t="s">
        <v>1101</v>
      </c>
    </row>
    <row r="134" s="117" customFormat="1" ht="57" hidden="1" spans="1:46">
      <c r="A134" s="135" t="s">
        <v>825</v>
      </c>
      <c r="B134" s="136" t="s">
        <v>734</v>
      </c>
      <c r="C134" s="136" t="s">
        <v>735</v>
      </c>
      <c r="D134" s="136" t="s">
        <v>1113</v>
      </c>
      <c r="E134" s="136" t="s">
        <v>847</v>
      </c>
      <c r="F134" s="136" t="s">
        <v>749</v>
      </c>
      <c r="G134" s="136"/>
      <c r="H134" s="136" t="s">
        <v>1118</v>
      </c>
      <c r="I134" s="136" t="s">
        <v>1119</v>
      </c>
      <c r="J134" s="171" t="s">
        <v>915</v>
      </c>
      <c r="K134" s="136" t="s">
        <v>1020</v>
      </c>
      <c r="L134" s="135" t="s">
        <v>724</v>
      </c>
      <c r="M134" s="135" t="s">
        <v>724</v>
      </c>
      <c r="N134" s="136" t="s">
        <v>724</v>
      </c>
      <c r="O134" s="136" t="s">
        <v>1021</v>
      </c>
      <c r="P134" s="136" t="s">
        <v>1022</v>
      </c>
      <c r="Q134" s="176" t="s">
        <v>717</v>
      </c>
      <c r="R134" s="176" t="s">
        <v>717</v>
      </c>
      <c r="S134" s="176">
        <v>1</v>
      </c>
      <c r="T134" s="176">
        <v>1</v>
      </c>
      <c r="U134" s="184">
        <v>1</v>
      </c>
      <c r="V134" s="136">
        <v>2026</v>
      </c>
      <c r="W134" s="177">
        <v>46112</v>
      </c>
      <c r="X134" s="146" t="s">
        <v>852</v>
      </c>
      <c r="Y134" s="184"/>
      <c r="Z134" s="184">
        <v>2</v>
      </c>
      <c r="AA134" s="184"/>
      <c r="AB134" s="184"/>
      <c r="AC134" s="184"/>
      <c r="AD134" s="184"/>
      <c r="AE134" s="204">
        <v>46023</v>
      </c>
      <c r="AF134" s="204">
        <v>45747</v>
      </c>
      <c r="AG134" s="184"/>
      <c r="AH134" s="184"/>
      <c r="AI134" s="184"/>
      <c r="AJ134" s="184"/>
      <c r="AK134" s="184"/>
      <c r="AL134" s="184"/>
      <c r="AM134" s="188"/>
      <c r="AN134" s="188"/>
      <c r="AO134" s="188"/>
      <c r="AP134" s="176">
        <v>9094</v>
      </c>
      <c r="AQ134" s="176">
        <v>21450</v>
      </c>
      <c r="AR134" s="176"/>
      <c r="AS134" s="176"/>
      <c r="AT134" s="189" t="s">
        <v>1101</v>
      </c>
    </row>
    <row r="135" s="117" customFormat="1" ht="57" hidden="1" spans="1:46">
      <c r="A135" s="135" t="s">
        <v>825</v>
      </c>
      <c r="B135" s="136" t="s">
        <v>734</v>
      </c>
      <c r="C135" s="136" t="s">
        <v>735</v>
      </c>
      <c r="D135" s="136" t="s">
        <v>1113</v>
      </c>
      <c r="E135" s="136" t="s">
        <v>847</v>
      </c>
      <c r="F135" s="136" t="s">
        <v>749</v>
      </c>
      <c r="G135" s="136"/>
      <c r="H135" s="136" t="s">
        <v>1120</v>
      </c>
      <c r="I135" s="136" t="s">
        <v>1121</v>
      </c>
      <c r="J135" s="171" t="s">
        <v>915</v>
      </c>
      <c r="K135" s="136" t="s">
        <v>1020</v>
      </c>
      <c r="L135" s="135" t="s">
        <v>724</v>
      </c>
      <c r="M135" s="135" t="s">
        <v>724</v>
      </c>
      <c r="N135" s="136" t="s">
        <v>724</v>
      </c>
      <c r="O135" s="136" t="s">
        <v>1021</v>
      </c>
      <c r="P135" s="136" t="s">
        <v>1022</v>
      </c>
      <c r="Q135" s="176" t="s">
        <v>717</v>
      </c>
      <c r="R135" s="176" t="s">
        <v>717</v>
      </c>
      <c r="S135" s="176">
        <v>1</v>
      </c>
      <c r="T135" s="176">
        <v>1</v>
      </c>
      <c r="U135" s="184">
        <v>1</v>
      </c>
      <c r="V135" s="136">
        <v>2026</v>
      </c>
      <c r="W135" s="177">
        <v>46112</v>
      </c>
      <c r="X135" s="146" t="s">
        <v>852</v>
      </c>
      <c r="Y135" s="184"/>
      <c r="Z135" s="184">
        <v>7</v>
      </c>
      <c r="AA135" s="184"/>
      <c r="AB135" s="184"/>
      <c r="AC135" s="184"/>
      <c r="AD135" s="184"/>
      <c r="AE135" s="204">
        <v>46023</v>
      </c>
      <c r="AF135" s="204">
        <v>45747</v>
      </c>
      <c r="AG135" s="184"/>
      <c r="AH135" s="184"/>
      <c r="AI135" s="184"/>
      <c r="AJ135" s="184"/>
      <c r="AK135" s="184"/>
      <c r="AL135" s="184"/>
      <c r="AM135" s="188"/>
      <c r="AN135" s="188"/>
      <c r="AO135" s="188"/>
      <c r="AP135" s="176">
        <v>9095</v>
      </c>
      <c r="AQ135" s="176">
        <v>21451</v>
      </c>
      <c r="AR135" s="176"/>
      <c r="AS135" s="176"/>
      <c r="AT135" s="189" t="s">
        <v>1101</v>
      </c>
    </row>
    <row r="136" s="117" customFormat="1" ht="71.25" hidden="1" spans="1:46">
      <c r="A136" s="135" t="s">
        <v>722</v>
      </c>
      <c r="B136" s="135" t="s">
        <v>723</v>
      </c>
      <c r="C136" s="135" t="s">
        <v>735</v>
      </c>
      <c r="D136" s="136" t="s">
        <v>747</v>
      </c>
      <c r="E136" s="136" t="s">
        <v>748</v>
      </c>
      <c r="F136" s="136" t="s">
        <v>749</v>
      </c>
      <c r="G136" s="136"/>
      <c r="H136" s="136" t="s">
        <v>1122</v>
      </c>
      <c r="I136" s="136" t="s">
        <v>1123</v>
      </c>
      <c r="J136" s="136" t="s">
        <v>752</v>
      </c>
      <c r="K136" s="135" t="s">
        <v>753</v>
      </c>
      <c r="L136" s="136" t="s">
        <v>724</v>
      </c>
      <c r="M136" s="136" t="s">
        <v>724</v>
      </c>
      <c r="N136" s="136" t="s">
        <v>735</v>
      </c>
      <c r="O136" s="136" t="s">
        <v>744</v>
      </c>
      <c r="P136" s="136" t="s">
        <v>1027</v>
      </c>
      <c r="Q136" s="135" t="s">
        <v>717</v>
      </c>
      <c r="R136" s="136" t="s">
        <v>717</v>
      </c>
      <c r="S136" s="136"/>
      <c r="T136" s="136"/>
      <c r="U136" s="135"/>
      <c r="V136" s="136">
        <v>2026</v>
      </c>
      <c r="W136" s="177">
        <v>46112</v>
      </c>
      <c r="X136" s="146" t="s">
        <v>756</v>
      </c>
      <c r="Y136" s="135"/>
      <c r="Z136" s="135">
        <v>7</v>
      </c>
      <c r="AA136" s="135"/>
      <c r="AB136" s="135"/>
      <c r="AC136" s="135"/>
      <c r="AD136" s="135"/>
      <c r="AE136" s="157">
        <v>46023</v>
      </c>
      <c r="AF136" s="157">
        <v>46112</v>
      </c>
      <c r="AG136" s="184"/>
      <c r="AH136" s="184"/>
      <c r="AI136" s="184"/>
      <c r="AJ136" s="184"/>
      <c r="AK136" s="184"/>
      <c r="AL136" s="184"/>
      <c r="AM136" s="188"/>
      <c r="AN136" s="188"/>
      <c r="AO136" s="188"/>
      <c r="AP136" s="176">
        <v>9078</v>
      </c>
      <c r="AQ136" s="176">
        <v>21455</v>
      </c>
      <c r="AR136" s="176"/>
      <c r="AS136" s="176"/>
      <c r="AT136" s="189" t="s">
        <v>1101</v>
      </c>
    </row>
    <row r="137" s="117" customFormat="1" ht="71.25" hidden="1" spans="1:46">
      <c r="A137" s="135" t="s">
        <v>722</v>
      </c>
      <c r="B137" s="135" t="s">
        <v>723</v>
      </c>
      <c r="C137" s="135" t="s">
        <v>735</v>
      </c>
      <c r="D137" s="136" t="s">
        <v>747</v>
      </c>
      <c r="E137" s="136" t="s">
        <v>748</v>
      </c>
      <c r="F137" s="136" t="s">
        <v>749</v>
      </c>
      <c r="G137" s="136"/>
      <c r="H137" s="136" t="s">
        <v>1124</v>
      </c>
      <c r="I137" s="136" t="s">
        <v>1125</v>
      </c>
      <c r="J137" s="136" t="s">
        <v>752</v>
      </c>
      <c r="K137" s="135" t="s">
        <v>753</v>
      </c>
      <c r="L137" s="136" t="s">
        <v>724</v>
      </c>
      <c r="M137" s="136" t="s">
        <v>724</v>
      </c>
      <c r="N137" s="136" t="s">
        <v>735</v>
      </c>
      <c r="O137" s="136" t="s">
        <v>744</v>
      </c>
      <c r="P137" s="136" t="s">
        <v>1027</v>
      </c>
      <c r="Q137" s="135" t="s">
        <v>717</v>
      </c>
      <c r="R137" s="136" t="s">
        <v>717</v>
      </c>
      <c r="S137" s="136"/>
      <c r="T137" s="136"/>
      <c r="U137" s="135"/>
      <c r="V137" s="136">
        <v>2026</v>
      </c>
      <c r="W137" s="177">
        <v>46112</v>
      </c>
      <c r="X137" s="146" t="s">
        <v>756</v>
      </c>
      <c r="Y137" s="135"/>
      <c r="Z137" s="135">
        <v>2</v>
      </c>
      <c r="AA137" s="135"/>
      <c r="AB137" s="135"/>
      <c r="AC137" s="135"/>
      <c r="AD137" s="135"/>
      <c r="AE137" s="157">
        <v>46023</v>
      </c>
      <c r="AF137" s="157">
        <v>46112</v>
      </c>
      <c r="AG137" s="184"/>
      <c r="AH137" s="184"/>
      <c r="AI137" s="184"/>
      <c r="AJ137" s="184"/>
      <c r="AK137" s="184"/>
      <c r="AL137" s="184"/>
      <c r="AM137" s="188"/>
      <c r="AN137" s="188"/>
      <c r="AO137" s="188"/>
      <c r="AP137" s="176">
        <v>9079</v>
      </c>
      <c r="AQ137" s="176">
        <v>21456</v>
      </c>
      <c r="AR137" s="176"/>
      <c r="AS137" s="176"/>
      <c r="AT137" s="189" t="s">
        <v>1101</v>
      </c>
    </row>
    <row r="138" s="117" customFormat="1" ht="71.25" hidden="1" spans="1:46">
      <c r="A138" s="135" t="s">
        <v>722</v>
      </c>
      <c r="B138" s="135" t="s">
        <v>723</v>
      </c>
      <c r="C138" s="135" t="s">
        <v>735</v>
      </c>
      <c r="D138" s="136" t="s">
        <v>747</v>
      </c>
      <c r="E138" s="136" t="s">
        <v>748</v>
      </c>
      <c r="F138" s="136" t="s">
        <v>749</v>
      </c>
      <c r="G138" s="136"/>
      <c r="H138" s="136" t="s">
        <v>1126</v>
      </c>
      <c r="I138" s="136" t="s">
        <v>1127</v>
      </c>
      <c r="J138" s="136" t="s">
        <v>752</v>
      </c>
      <c r="K138" s="135" t="s">
        <v>753</v>
      </c>
      <c r="L138" s="136" t="s">
        <v>724</v>
      </c>
      <c r="M138" s="136" t="s">
        <v>724</v>
      </c>
      <c r="N138" s="136" t="s">
        <v>735</v>
      </c>
      <c r="O138" s="136" t="s">
        <v>744</v>
      </c>
      <c r="P138" s="136" t="s">
        <v>1027</v>
      </c>
      <c r="Q138" s="135" t="s">
        <v>717</v>
      </c>
      <c r="R138" s="136" t="s">
        <v>717</v>
      </c>
      <c r="S138" s="136"/>
      <c r="T138" s="136"/>
      <c r="U138" s="135"/>
      <c r="V138" s="136">
        <v>2026</v>
      </c>
      <c r="W138" s="177">
        <v>46112</v>
      </c>
      <c r="X138" s="146" t="s">
        <v>756</v>
      </c>
      <c r="Y138" s="135"/>
      <c r="Z138" s="135">
        <v>10</v>
      </c>
      <c r="AA138" s="135"/>
      <c r="AB138" s="135"/>
      <c r="AC138" s="135"/>
      <c r="AD138" s="135"/>
      <c r="AE138" s="157">
        <v>46023</v>
      </c>
      <c r="AF138" s="157">
        <v>46112</v>
      </c>
      <c r="AG138" s="184"/>
      <c r="AH138" s="184"/>
      <c r="AI138" s="184"/>
      <c r="AJ138" s="184"/>
      <c r="AK138" s="184"/>
      <c r="AL138" s="184"/>
      <c r="AM138" s="188"/>
      <c r="AN138" s="188"/>
      <c r="AO138" s="188"/>
      <c r="AP138" s="176">
        <v>9080</v>
      </c>
      <c r="AQ138" s="176">
        <v>21457</v>
      </c>
      <c r="AR138" s="176"/>
      <c r="AS138" s="176"/>
      <c r="AT138" s="189" t="s">
        <v>1101</v>
      </c>
    </row>
    <row r="139" s="117" customFormat="1" ht="71.25" hidden="1" spans="1:46">
      <c r="A139" s="135" t="s">
        <v>722</v>
      </c>
      <c r="B139" s="135" t="s">
        <v>723</v>
      </c>
      <c r="C139" s="135" t="s">
        <v>735</v>
      </c>
      <c r="D139" s="136" t="s">
        <v>747</v>
      </c>
      <c r="E139" s="136" t="s">
        <v>748</v>
      </c>
      <c r="F139" s="136" t="s">
        <v>749</v>
      </c>
      <c r="G139" s="136"/>
      <c r="H139" s="136" t="s">
        <v>1128</v>
      </c>
      <c r="I139" s="136" t="s">
        <v>1129</v>
      </c>
      <c r="J139" s="136" t="s">
        <v>752</v>
      </c>
      <c r="K139" s="135" t="s">
        <v>753</v>
      </c>
      <c r="L139" s="136" t="s">
        <v>724</v>
      </c>
      <c r="M139" s="136" t="s">
        <v>724</v>
      </c>
      <c r="N139" s="136" t="s">
        <v>735</v>
      </c>
      <c r="O139" s="136" t="s">
        <v>744</v>
      </c>
      <c r="P139" s="136" t="s">
        <v>1027</v>
      </c>
      <c r="Q139" s="135" t="s">
        <v>717</v>
      </c>
      <c r="R139" s="136" t="s">
        <v>717</v>
      </c>
      <c r="S139" s="136"/>
      <c r="T139" s="136"/>
      <c r="U139" s="135"/>
      <c r="V139" s="136">
        <v>2026</v>
      </c>
      <c r="W139" s="177">
        <v>46112</v>
      </c>
      <c r="X139" s="146" t="s">
        <v>756</v>
      </c>
      <c r="Y139" s="135"/>
      <c r="Z139" s="135">
        <v>4</v>
      </c>
      <c r="AA139" s="135"/>
      <c r="AB139" s="135"/>
      <c r="AC139" s="135"/>
      <c r="AD139" s="135"/>
      <c r="AE139" s="157">
        <v>46023</v>
      </c>
      <c r="AF139" s="157">
        <v>46112</v>
      </c>
      <c r="AG139" s="184"/>
      <c r="AH139" s="184"/>
      <c r="AI139" s="184"/>
      <c r="AJ139" s="184"/>
      <c r="AK139" s="184"/>
      <c r="AL139" s="184"/>
      <c r="AM139" s="188"/>
      <c r="AN139" s="188"/>
      <c r="AO139" s="188"/>
      <c r="AP139" s="176">
        <v>9081</v>
      </c>
      <c r="AQ139" s="176">
        <v>21458</v>
      </c>
      <c r="AR139" s="176"/>
      <c r="AS139" s="176"/>
      <c r="AT139" s="189" t="s">
        <v>1101</v>
      </c>
    </row>
    <row r="140" s="117" customFormat="1" ht="71.25" hidden="1" spans="1:46">
      <c r="A140" s="135" t="s">
        <v>722</v>
      </c>
      <c r="B140" s="135" t="s">
        <v>723</v>
      </c>
      <c r="C140" s="135" t="s">
        <v>735</v>
      </c>
      <c r="D140" s="136" t="s">
        <v>747</v>
      </c>
      <c r="E140" s="136" t="s">
        <v>748</v>
      </c>
      <c r="F140" s="136" t="s">
        <v>749</v>
      </c>
      <c r="G140" s="136"/>
      <c r="H140" s="136" t="s">
        <v>1130</v>
      </c>
      <c r="I140" s="136" t="s">
        <v>1131</v>
      </c>
      <c r="J140" s="136" t="s">
        <v>752</v>
      </c>
      <c r="K140" s="135" t="s">
        <v>753</v>
      </c>
      <c r="L140" s="136" t="s">
        <v>724</v>
      </c>
      <c r="M140" s="136" t="s">
        <v>724</v>
      </c>
      <c r="N140" s="136" t="s">
        <v>735</v>
      </c>
      <c r="O140" s="136" t="s">
        <v>744</v>
      </c>
      <c r="P140" s="136" t="s">
        <v>1027</v>
      </c>
      <c r="Q140" s="135" t="s">
        <v>717</v>
      </c>
      <c r="R140" s="136" t="s">
        <v>717</v>
      </c>
      <c r="S140" s="136"/>
      <c r="T140" s="136"/>
      <c r="U140" s="135"/>
      <c r="V140" s="136">
        <v>2026</v>
      </c>
      <c r="W140" s="177">
        <v>46112</v>
      </c>
      <c r="X140" s="146" t="s">
        <v>756</v>
      </c>
      <c r="Y140" s="135"/>
      <c r="Z140" s="135">
        <v>3</v>
      </c>
      <c r="AA140" s="135"/>
      <c r="AB140" s="135"/>
      <c r="AC140" s="135"/>
      <c r="AD140" s="135"/>
      <c r="AE140" s="157">
        <v>46023</v>
      </c>
      <c r="AF140" s="157">
        <v>46112</v>
      </c>
      <c r="AG140" s="184"/>
      <c r="AH140" s="184"/>
      <c r="AI140" s="184"/>
      <c r="AJ140" s="184"/>
      <c r="AK140" s="184"/>
      <c r="AL140" s="184"/>
      <c r="AM140" s="188"/>
      <c r="AN140" s="188"/>
      <c r="AO140" s="188"/>
      <c r="AP140" s="176">
        <v>9082</v>
      </c>
      <c r="AQ140" s="176">
        <v>21459</v>
      </c>
      <c r="AR140" s="176"/>
      <c r="AS140" s="176"/>
      <c r="AT140" s="189" t="s">
        <v>1101</v>
      </c>
    </row>
    <row r="141" s="117" customFormat="1" ht="71.25" hidden="1" spans="1:46">
      <c r="A141" s="135" t="s">
        <v>722</v>
      </c>
      <c r="B141" s="135" t="s">
        <v>723</v>
      </c>
      <c r="C141" s="135" t="s">
        <v>735</v>
      </c>
      <c r="D141" s="136" t="s">
        <v>747</v>
      </c>
      <c r="E141" s="136" t="s">
        <v>748</v>
      </c>
      <c r="F141" s="136" t="s">
        <v>749</v>
      </c>
      <c r="G141" s="136"/>
      <c r="H141" s="136" t="s">
        <v>1132</v>
      </c>
      <c r="I141" s="136" t="s">
        <v>1133</v>
      </c>
      <c r="J141" s="136" t="s">
        <v>752</v>
      </c>
      <c r="K141" s="135" t="s">
        <v>753</v>
      </c>
      <c r="L141" s="136" t="s">
        <v>724</v>
      </c>
      <c r="M141" s="136" t="s">
        <v>724</v>
      </c>
      <c r="N141" s="136" t="s">
        <v>735</v>
      </c>
      <c r="O141" s="136" t="s">
        <v>744</v>
      </c>
      <c r="P141" s="136" t="s">
        <v>1027</v>
      </c>
      <c r="Q141" s="135" t="s">
        <v>717</v>
      </c>
      <c r="R141" s="136" t="s">
        <v>717</v>
      </c>
      <c r="S141" s="136"/>
      <c r="T141" s="136"/>
      <c r="U141" s="135"/>
      <c r="V141" s="136">
        <v>2026</v>
      </c>
      <c r="W141" s="177">
        <v>46112</v>
      </c>
      <c r="X141" s="146" t="s">
        <v>756</v>
      </c>
      <c r="Y141" s="135"/>
      <c r="Z141" s="135">
        <v>2</v>
      </c>
      <c r="AA141" s="135"/>
      <c r="AB141" s="135"/>
      <c r="AC141" s="135"/>
      <c r="AD141" s="135"/>
      <c r="AE141" s="157">
        <v>46023</v>
      </c>
      <c r="AF141" s="157">
        <v>46112</v>
      </c>
      <c r="AG141" s="184"/>
      <c r="AH141" s="184"/>
      <c r="AI141" s="184"/>
      <c r="AJ141" s="184"/>
      <c r="AK141" s="184"/>
      <c r="AL141" s="184"/>
      <c r="AM141" s="188"/>
      <c r="AN141" s="188"/>
      <c r="AO141" s="188"/>
      <c r="AP141" s="176">
        <v>9083</v>
      </c>
      <c r="AQ141" s="176">
        <v>21460</v>
      </c>
      <c r="AR141" s="176"/>
      <c r="AS141" s="176"/>
      <c r="AT141" s="189" t="s">
        <v>1101</v>
      </c>
    </row>
    <row r="142" s="117" customFormat="1" ht="71.25" hidden="1" spans="1:46">
      <c r="A142" s="135" t="s">
        <v>722</v>
      </c>
      <c r="B142" s="135" t="s">
        <v>723</v>
      </c>
      <c r="C142" s="135" t="s">
        <v>735</v>
      </c>
      <c r="D142" s="136" t="s">
        <v>747</v>
      </c>
      <c r="E142" s="136" t="s">
        <v>748</v>
      </c>
      <c r="F142" s="136" t="s">
        <v>749</v>
      </c>
      <c r="G142" s="136"/>
      <c r="H142" s="136" t="s">
        <v>1134</v>
      </c>
      <c r="I142" s="136" t="s">
        <v>1135</v>
      </c>
      <c r="J142" s="136" t="s">
        <v>752</v>
      </c>
      <c r="K142" s="135" t="s">
        <v>753</v>
      </c>
      <c r="L142" s="136" t="s">
        <v>724</v>
      </c>
      <c r="M142" s="136" t="s">
        <v>724</v>
      </c>
      <c r="N142" s="136" t="s">
        <v>735</v>
      </c>
      <c r="O142" s="136" t="s">
        <v>744</v>
      </c>
      <c r="P142" s="136" t="s">
        <v>1027</v>
      </c>
      <c r="Q142" s="135" t="s">
        <v>717</v>
      </c>
      <c r="R142" s="136" t="s">
        <v>717</v>
      </c>
      <c r="S142" s="136"/>
      <c r="T142" s="136"/>
      <c r="U142" s="135"/>
      <c r="V142" s="136">
        <v>2026</v>
      </c>
      <c r="W142" s="177">
        <v>46112</v>
      </c>
      <c r="X142" s="146" t="s">
        <v>756</v>
      </c>
      <c r="Y142" s="135"/>
      <c r="Z142" s="135">
        <v>7</v>
      </c>
      <c r="AA142" s="135"/>
      <c r="AB142" s="135"/>
      <c r="AC142" s="135"/>
      <c r="AD142" s="135"/>
      <c r="AE142" s="157">
        <v>46023</v>
      </c>
      <c r="AF142" s="157">
        <v>46112</v>
      </c>
      <c r="AG142" s="184"/>
      <c r="AH142" s="184"/>
      <c r="AI142" s="184"/>
      <c r="AJ142" s="184"/>
      <c r="AK142" s="184"/>
      <c r="AL142" s="184"/>
      <c r="AM142" s="188"/>
      <c r="AN142" s="188"/>
      <c r="AO142" s="188"/>
      <c r="AP142" s="176">
        <v>9084</v>
      </c>
      <c r="AQ142" s="176">
        <v>21461</v>
      </c>
      <c r="AR142" s="176"/>
      <c r="AS142" s="176"/>
      <c r="AT142" s="189" t="s">
        <v>1101</v>
      </c>
    </row>
    <row r="143" s="117" customFormat="1" ht="71.25" hidden="1" spans="1:46">
      <c r="A143" s="135" t="s">
        <v>722</v>
      </c>
      <c r="B143" s="135" t="s">
        <v>723</v>
      </c>
      <c r="C143" s="135" t="s">
        <v>735</v>
      </c>
      <c r="D143" s="136" t="s">
        <v>747</v>
      </c>
      <c r="E143" s="136" t="s">
        <v>748</v>
      </c>
      <c r="F143" s="136" t="s">
        <v>749</v>
      </c>
      <c r="G143" s="136"/>
      <c r="H143" s="136" t="s">
        <v>1136</v>
      </c>
      <c r="I143" s="136" t="s">
        <v>1137</v>
      </c>
      <c r="J143" s="136" t="s">
        <v>752</v>
      </c>
      <c r="K143" s="135" t="s">
        <v>753</v>
      </c>
      <c r="L143" s="136" t="s">
        <v>724</v>
      </c>
      <c r="M143" s="136" t="s">
        <v>724</v>
      </c>
      <c r="N143" s="136" t="s">
        <v>735</v>
      </c>
      <c r="O143" s="136" t="s">
        <v>744</v>
      </c>
      <c r="P143" s="136" t="s">
        <v>1027</v>
      </c>
      <c r="Q143" s="135" t="s">
        <v>717</v>
      </c>
      <c r="R143" s="136" t="s">
        <v>717</v>
      </c>
      <c r="S143" s="136"/>
      <c r="T143" s="136"/>
      <c r="U143" s="135"/>
      <c r="V143" s="136">
        <v>2026</v>
      </c>
      <c r="W143" s="177">
        <v>46112</v>
      </c>
      <c r="X143" s="146" t="s">
        <v>756</v>
      </c>
      <c r="Y143" s="135"/>
      <c r="Z143" s="135">
        <v>15</v>
      </c>
      <c r="AA143" s="135"/>
      <c r="AB143" s="135"/>
      <c r="AC143" s="135"/>
      <c r="AD143" s="135"/>
      <c r="AE143" s="157">
        <v>46023</v>
      </c>
      <c r="AF143" s="157">
        <v>46112</v>
      </c>
      <c r="AG143" s="184"/>
      <c r="AH143" s="184"/>
      <c r="AI143" s="184"/>
      <c r="AJ143" s="184"/>
      <c r="AK143" s="184"/>
      <c r="AL143" s="184"/>
      <c r="AM143" s="188"/>
      <c r="AN143" s="188"/>
      <c r="AO143" s="188"/>
      <c r="AP143" s="176">
        <v>9090</v>
      </c>
      <c r="AQ143" s="176">
        <v>21463</v>
      </c>
      <c r="AR143" s="176"/>
      <c r="AS143" s="176"/>
      <c r="AT143" s="189" t="s">
        <v>1101</v>
      </c>
    </row>
    <row r="144" s="117" customFormat="1" ht="57" hidden="1" spans="1:46">
      <c r="A144" s="135" t="s">
        <v>722</v>
      </c>
      <c r="B144" s="135" t="s">
        <v>734</v>
      </c>
      <c r="C144" s="135" t="s">
        <v>735</v>
      </c>
      <c r="D144" s="136" t="s">
        <v>736</v>
      </c>
      <c r="E144" s="136" t="s">
        <v>737</v>
      </c>
      <c r="F144" s="136" t="s">
        <v>749</v>
      </c>
      <c r="G144" s="136"/>
      <c r="H144" s="136" t="s">
        <v>1138</v>
      </c>
      <c r="I144" s="136" t="s">
        <v>1139</v>
      </c>
      <c r="J144" s="171" t="s">
        <v>915</v>
      </c>
      <c r="K144" s="136" t="s">
        <v>1020</v>
      </c>
      <c r="L144" s="135" t="s">
        <v>724</v>
      </c>
      <c r="M144" s="135" t="s">
        <v>724</v>
      </c>
      <c r="N144" s="135" t="s">
        <v>724</v>
      </c>
      <c r="O144" s="136" t="s">
        <v>1021</v>
      </c>
      <c r="P144" s="136" t="s">
        <v>1033</v>
      </c>
      <c r="Q144" s="176" t="s">
        <v>717</v>
      </c>
      <c r="R144" s="176" t="s">
        <v>717</v>
      </c>
      <c r="S144" s="176">
        <v>1</v>
      </c>
      <c r="T144" s="176">
        <v>1</v>
      </c>
      <c r="U144" s="184">
        <v>1</v>
      </c>
      <c r="V144" s="136">
        <v>2026</v>
      </c>
      <c r="W144" s="177">
        <v>46112</v>
      </c>
      <c r="X144" s="146" t="s">
        <v>746</v>
      </c>
      <c r="Y144" s="184"/>
      <c r="Z144" s="184">
        <v>8</v>
      </c>
      <c r="AA144" s="184"/>
      <c r="AB144" s="184"/>
      <c r="AC144" s="184"/>
      <c r="AD144" s="184"/>
      <c r="AE144" s="157">
        <v>46023</v>
      </c>
      <c r="AF144" s="157">
        <v>46112</v>
      </c>
      <c r="AG144" s="184"/>
      <c r="AH144" s="184"/>
      <c r="AI144" s="184"/>
      <c r="AJ144" s="184"/>
      <c r="AK144" s="184"/>
      <c r="AL144" s="184"/>
      <c r="AM144" s="188"/>
      <c r="AN144" s="188"/>
      <c r="AO144" s="188"/>
      <c r="AP144" s="176">
        <v>9085</v>
      </c>
      <c r="AQ144" s="176">
        <v>21454</v>
      </c>
      <c r="AR144" s="176"/>
      <c r="AS144" s="176"/>
      <c r="AT144" s="189" t="s">
        <v>1101</v>
      </c>
    </row>
    <row r="145" s="116" customFormat="1" ht="85.5" hidden="1" spans="1:46">
      <c r="A145" s="190" t="s">
        <v>722</v>
      </c>
      <c r="B145" s="190" t="s">
        <v>734</v>
      </c>
      <c r="C145" s="190" t="s">
        <v>735</v>
      </c>
      <c r="D145" s="191" t="s">
        <v>736</v>
      </c>
      <c r="E145" s="191" t="s">
        <v>737</v>
      </c>
      <c r="F145" s="191" t="s">
        <v>738</v>
      </c>
      <c r="G145" s="191" t="s">
        <v>1140</v>
      </c>
      <c r="H145" s="191" t="s">
        <v>1140</v>
      </c>
      <c r="I145" s="191" t="s">
        <v>1141</v>
      </c>
      <c r="J145" s="191" t="s">
        <v>1142</v>
      </c>
      <c r="K145" s="191" t="s">
        <v>1143</v>
      </c>
      <c r="L145" s="191" t="s">
        <v>724</v>
      </c>
      <c r="M145" s="191" t="s">
        <v>724</v>
      </c>
      <c r="N145" s="191" t="s">
        <v>724</v>
      </c>
      <c r="O145" s="191" t="s">
        <v>744</v>
      </c>
      <c r="P145" s="191" t="s">
        <v>1075</v>
      </c>
      <c r="Q145" s="190" t="s">
        <v>755</v>
      </c>
      <c r="R145" s="191" t="s">
        <v>718</v>
      </c>
      <c r="S145" s="190">
        <v>1</v>
      </c>
      <c r="T145" s="190">
        <v>2</v>
      </c>
      <c r="U145" s="190">
        <v>2</v>
      </c>
      <c r="V145" s="191">
        <v>2026</v>
      </c>
      <c r="W145" s="197">
        <v>46112</v>
      </c>
      <c r="X145" s="198" t="s">
        <v>746</v>
      </c>
      <c r="Y145" s="191">
        <v>0</v>
      </c>
      <c r="Z145" s="190"/>
      <c r="AA145" s="190"/>
      <c r="AB145" s="190"/>
      <c r="AC145" s="190"/>
      <c r="AD145" s="190"/>
      <c r="AE145" s="205">
        <v>46023</v>
      </c>
      <c r="AF145" s="205">
        <v>46112</v>
      </c>
      <c r="AG145" s="203"/>
      <c r="AH145" s="220"/>
      <c r="AI145" s="203"/>
      <c r="AJ145" s="203"/>
      <c r="AK145" s="203"/>
      <c r="AL145" s="203"/>
      <c r="AM145" s="221"/>
      <c r="AN145" s="221"/>
      <c r="AO145" s="221"/>
      <c r="AP145" s="174">
        <v>8212</v>
      </c>
      <c r="AQ145" s="174">
        <v>19992</v>
      </c>
      <c r="AR145" s="166">
        <f t="shared" ref="AR145:AR162" si="29">SUM(Y145:AD145)</f>
        <v>0</v>
      </c>
      <c r="AS145" s="169">
        <f t="shared" ref="AS145:AS151" si="30">AR145*8</f>
        <v>0</v>
      </c>
      <c r="AT145" s="168"/>
    </row>
    <row r="146" s="116" customFormat="1" ht="99.75" hidden="1" spans="1:46">
      <c r="A146" s="190" t="s">
        <v>722</v>
      </c>
      <c r="B146" s="190" t="s">
        <v>734</v>
      </c>
      <c r="C146" s="190" t="s">
        <v>735</v>
      </c>
      <c r="D146" s="191" t="s">
        <v>736</v>
      </c>
      <c r="E146" s="191" t="s">
        <v>886</v>
      </c>
      <c r="F146" s="191" t="s">
        <v>749</v>
      </c>
      <c r="G146" s="191"/>
      <c r="H146" s="191" t="s">
        <v>1144</v>
      </c>
      <c r="I146" s="191" t="s">
        <v>1145</v>
      </c>
      <c r="J146" s="191" t="s">
        <v>1146</v>
      </c>
      <c r="K146" s="191" t="s">
        <v>959</v>
      </c>
      <c r="L146" s="191" t="s">
        <v>724</v>
      </c>
      <c r="M146" s="191" t="s">
        <v>724</v>
      </c>
      <c r="N146" s="191" t="s">
        <v>724</v>
      </c>
      <c r="O146" s="191" t="s">
        <v>19</v>
      </c>
      <c r="P146" s="191" t="s">
        <v>960</v>
      </c>
      <c r="Q146" s="191" t="s">
        <v>717</v>
      </c>
      <c r="R146" s="191" t="s">
        <v>717</v>
      </c>
      <c r="S146" s="190" t="str">
        <f t="shared" ref="S146:U146" si="31">SUBSTITUTE(Q146,"P","")</f>
        <v>1</v>
      </c>
      <c r="T146" s="190" t="str">
        <f t="shared" si="31"/>
        <v>1</v>
      </c>
      <c r="U146" s="190" t="str">
        <f t="shared" si="31"/>
        <v>1</v>
      </c>
      <c r="V146" s="191">
        <v>2026</v>
      </c>
      <c r="W146" s="197">
        <v>45747</v>
      </c>
      <c r="X146" s="198" t="s">
        <v>891</v>
      </c>
      <c r="Y146" s="190"/>
      <c r="Z146" s="190">
        <v>0</v>
      </c>
      <c r="AA146" s="190"/>
      <c r="AB146" s="190"/>
      <c r="AC146" s="190"/>
      <c r="AD146" s="190"/>
      <c r="AE146" s="205">
        <v>46023</v>
      </c>
      <c r="AF146" s="205">
        <v>46112</v>
      </c>
      <c r="AG146" s="203"/>
      <c r="AH146" s="203"/>
      <c r="AI146" s="203"/>
      <c r="AJ146" s="203"/>
      <c r="AK146" s="203"/>
      <c r="AL146" s="203"/>
      <c r="AM146" s="221"/>
      <c r="AN146" s="221"/>
      <c r="AO146" s="221"/>
      <c r="AP146" s="174">
        <v>8184</v>
      </c>
      <c r="AQ146" s="174">
        <v>19965</v>
      </c>
      <c r="AR146" s="166">
        <f t="shared" si="29"/>
        <v>0</v>
      </c>
      <c r="AS146" s="169">
        <v>6</v>
      </c>
      <c r="AT146" s="168"/>
    </row>
    <row r="147" s="116" customFormat="1" ht="99.75" hidden="1" spans="1:46">
      <c r="A147" s="190" t="s">
        <v>722</v>
      </c>
      <c r="B147" s="190" t="s">
        <v>723</v>
      </c>
      <c r="C147" s="190" t="s">
        <v>735</v>
      </c>
      <c r="D147" s="191" t="s">
        <v>736</v>
      </c>
      <c r="E147" s="191" t="s">
        <v>886</v>
      </c>
      <c r="F147" s="191" t="s">
        <v>749</v>
      </c>
      <c r="G147" s="191"/>
      <c r="H147" s="191" t="s">
        <v>1147</v>
      </c>
      <c r="I147" s="191" t="s">
        <v>1147</v>
      </c>
      <c r="J147" s="191" t="s">
        <v>1148</v>
      </c>
      <c r="K147" s="191" t="s">
        <v>959</v>
      </c>
      <c r="L147" s="191" t="s">
        <v>724</v>
      </c>
      <c r="M147" s="191" t="s">
        <v>724</v>
      </c>
      <c r="N147" s="191" t="s">
        <v>724</v>
      </c>
      <c r="O147" s="191" t="s">
        <v>19</v>
      </c>
      <c r="P147" s="191" t="s">
        <v>960</v>
      </c>
      <c r="Q147" s="191" t="s">
        <v>717</v>
      </c>
      <c r="R147" s="191" t="s">
        <v>717</v>
      </c>
      <c r="S147" s="190" t="str">
        <f t="shared" ref="S147:U147" si="32">SUBSTITUTE(Q147,"P","")</f>
        <v>1</v>
      </c>
      <c r="T147" s="190" t="str">
        <f t="shared" si="32"/>
        <v>1</v>
      </c>
      <c r="U147" s="190" t="str">
        <f t="shared" si="32"/>
        <v>1</v>
      </c>
      <c r="V147" s="191">
        <v>2026</v>
      </c>
      <c r="W147" s="197">
        <v>45747</v>
      </c>
      <c r="X147" s="198" t="s">
        <v>891</v>
      </c>
      <c r="Y147" s="190"/>
      <c r="Z147" s="190">
        <v>0</v>
      </c>
      <c r="AA147" s="190"/>
      <c r="AB147" s="190"/>
      <c r="AC147" s="190"/>
      <c r="AD147" s="190"/>
      <c r="AE147" s="205">
        <v>46023</v>
      </c>
      <c r="AF147" s="205">
        <v>46112</v>
      </c>
      <c r="AG147" s="203"/>
      <c r="AH147" s="203"/>
      <c r="AI147" s="203"/>
      <c r="AJ147" s="203"/>
      <c r="AK147" s="203"/>
      <c r="AL147" s="203"/>
      <c r="AM147" s="221"/>
      <c r="AN147" s="221"/>
      <c r="AO147" s="221"/>
      <c r="AP147" s="174">
        <v>8204</v>
      </c>
      <c r="AQ147" s="174">
        <v>19985</v>
      </c>
      <c r="AR147" s="166">
        <f t="shared" si="29"/>
        <v>0</v>
      </c>
      <c r="AS147" s="169">
        <v>10</v>
      </c>
      <c r="AT147" s="168"/>
    </row>
    <row r="148" s="116" customFormat="1" ht="99.75" hidden="1" spans="1:46">
      <c r="A148" s="190" t="s">
        <v>722</v>
      </c>
      <c r="B148" s="190" t="s">
        <v>723</v>
      </c>
      <c r="C148" s="190" t="s">
        <v>735</v>
      </c>
      <c r="D148" s="191" t="s">
        <v>736</v>
      </c>
      <c r="E148" s="191" t="s">
        <v>886</v>
      </c>
      <c r="F148" s="191" t="s">
        <v>749</v>
      </c>
      <c r="G148" s="191"/>
      <c r="H148" s="191" t="s">
        <v>1149</v>
      </c>
      <c r="I148" s="191" t="s">
        <v>1149</v>
      </c>
      <c r="J148" s="191" t="s">
        <v>1150</v>
      </c>
      <c r="K148" s="191" t="s">
        <v>959</v>
      </c>
      <c r="L148" s="191" t="s">
        <v>724</v>
      </c>
      <c r="M148" s="191" t="s">
        <v>724</v>
      </c>
      <c r="N148" s="191" t="s">
        <v>724</v>
      </c>
      <c r="O148" s="191" t="s">
        <v>19</v>
      </c>
      <c r="P148" s="191" t="s">
        <v>960</v>
      </c>
      <c r="Q148" s="191" t="s">
        <v>717</v>
      </c>
      <c r="R148" s="191" t="s">
        <v>717</v>
      </c>
      <c r="S148" s="190" t="str">
        <f t="shared" ref="S148:U148" si="33">SUBSTITUTE(Q148,"P","")</f>
        <v>1</v>
      </c>
      <c r="T148" s="190" t="str">
        <f t="shared" si="33"/>
        <v>1</v>
      </c>
      <c r="U148" s="190" t="str">
        <f t="shared" si="33"/>
        <v>1</v>
      </c>
      <c r="V148" s="191">
        <v>2026</v>
      </c>
      <c r="W148" s="197">
        <v>45747</v>
      </c>
      <c r="X148" s="198" t="s">
        <v>891</v>
      </c>
      <c r="Y148" s="190"/>
      <c r="Z148" s="190">
        <v>0</v>
      </c>
      <c r="AA148" s="190"/>
      <c r="AB148" s="190"/>
      <c r="AC148" s="190"/>
      <c r="AD148" s="190"/>
      <c r="AE148" s="205">
        <v>46023</v>
      </c>
      <c r="AF148" s="205">
        <v>46112</v>
      </c>
      <c r="AG148" s="203"/>
      <c r="AH148" s="203"/>
      <c r="AI148" s="203"/>
      <c r="AJ148" s="203"/>
      <c r="AK148" s="203"/>
      <c r="AL148" s="203"/>
      <c r="AM148" s="221"/>
      <c r="AN148" s="221"/>
      <c r="AO148" s="221"/>
      <c r="AP148" s="174">
        <v>8205</v>
      </c>
      <c r="AQ148" s="174">
        <v>19986</v>
      </c>
      <c r="AR148" s="166">
        <f t="shared" si="29"/>
        <v>0</v>
      </c>
      <c r="AS148" s="169">
        <f t="shared" si="30"/>
        <v>0</v>
      </c>
      <c r="AT148" s="168"/>
    </row>
    <row r="149" s="116" customFormat="1" ht="42.75" hidden="1" spans="1:46">
      <c r="A149" s="190" t="s">
        <v>722</v>
      </c>
      <c r="B149" s="190" t="s">
        <v>734</v>
      </c>
      <c r="C149" s="190" t="s">
        <v>735</v>
      </c>
      <c r="D149" s="191" t="s">
        <v>747</v>
      </c>
      <c r="E149" s="191" t="s">
        <v>1092</v>
      </c>
      <c r="F149" s="191" t="s">
        <v>749</v>
      </c>
      <c r="G149" s="191"/>
      <c r="H149" s="191" t="s">
        <v>1151</v>
      </c>
      <c r="I149" s="191" t="s">
        <v>1152</v>
      </c>
      <c r="J149" s="191" t="s">
        <v>311</v>
      </c>
      <c r="K149" s="191" t="s">
        <v>1153</v>
      </c>
      <c r="L149" s="190" t="s">
        <v>724</v>
      </c>
      <c r="M149" s="190" t="s">
        <v>724</v>
      </c>
      <c r="N149" s="190" t="s">
        <v>724</v>
      </c>
      <c r="O149" s="191" t="s">
        <v>19</v>
      </c>
      <c r="P149" s="191" t="s">
        <v>1033</v>
      </c>
      <c r="Q149" s="191" t="s">
        <v>718</v>
      </c>
      <c r="R149" s="199" t="s">
        <v>718</v>
      </c>
      <c r="S149" s="191">
        <v>0</v>
      </c>
      <c r="T149" s="191">
        <v>1</v>
      </c>
      <c r="U149" s="190">
        <v>0</v>
      </c>
      <c r="V149" s="191">
        <v>2026</v>
      </c>
      <c r="W149" s="197">
        <v>46112</v>
      </c>
      <c r="X149" s="198" t="s">
        <v>1095</v>
      </c>
      <c r="Y149" s="190"/>
      <c r="Z149" s="190"/>
      <c r="AA149" s="190">
        <v>0</v>
      </c>
      <c r="AB149" s="190"/>
      <c r="AC149" s="190"/>
      <c r="AD149" s="190"/>
      <c r="AE149" s="205">
        <v>46023</v>
      </c>
      <c r="AF149" s="205">
        <v>46112</v>
      </c>
      <c r="AG149" s="203"/>
      <c r="AH149" s="203"/>
      <c r="AI149" s="203"/>
      <c r="AJ149" s="203"/>
      <c r="AK149" s="203"/>
      <c r="AL149" s="203"/>
      <c r="AM149" s="221"/>
      <c r="AN149" s="221"/>
      <c r="AO149" s="221"/>
      <c r="AP149" s="174">
        <v>8269</v>
      </c>
      <c r="AQ149" s="174">
        <v>20023</v>
      </c>
      <c r="AR149" s="166">
        <f t="shared" si="29"/>
        <v>0</v>
      </c>
      <c r="AS149" s="169">
        <f t="shared" si="30"/>
        <v>0</v>
      </c>
      <c r="AT149" s="168"/>
    </row>
    <row r="150" s="116" customFormat="1" ht="114" hidden="1" spans="1:46">
      <c r="A150" s="190" t="s">
        <v>722</v>
      </c>
      <c r="B150" s="190" t="s">
        <v>723</v>
      </c>
      <c r="C150" s="190" t="s">
        <v>735</v>
      </c>
      <c r="D150" s="191" t="s">
        <v>736</v>
      </c>
      <c r="E150" s="191" t="s">
        <v>886</v>
      </c>
      <c r="F150" s="191" t="s">
        <v>749</v>
      </c>
      <c r="G150" s="191"/>
      <c r="H150" s="191" t="s">
        <v>1154</v>
      </c>
      <c r="I150" s="191" t="s">
        <v>1155</v>
      </c>
      <c r="J150" s="191" t="s">
        <v>1156</v>
      </c>
      <c r="K150" s="191" t="s">
        <v>959</v>
      </c>
      <c r="L150" s="191" t="s">
        <v>724</v>
      </c>
      <c r="M150" s="191" t="s">
        <v>724</v>
      </c>
      <c r="N150" s="191" t="s">
        <v>724</v>
      </c>
      <c r="O150" s="191" t="s">
        <v>19</v>
      </c>
      <c r="P150" s="191" t="s">
        <v>960</v>
      </c>
      <c r="Q150" s="191" t="s">
        <v>717</v>
      </c>
      <c r="R150" s="191" t="s">
        <v>717</v>
      </c>
      <c r="S150" s="190" t="str">
        <f t="shared" ref="S150:U150" si="34">SUBSTITUTE(Q150,"P","")</f>
        <v>1</v>
      </c>
      <c r="T150" s="190" t="str">
        <f t="shared" si="34"/>
        <v>1</v>
      </c>
      <c r="U150" s="190" t="str">
        <f t="shared" si="34"/>
        <v>1</v>
      </c>
      <c r="V150" s="191">
        <v>2026</v>
      </c>
      <c r="W150" s="197">
        <v>45747</v>
      </c>
      <c r="X150" s="198" t="s">
        <v>891</v>
      </c>
      <c r="Y150" s="190"/>
      <c r="Z150" s="190">
        <v>0</v>
      </c>
      <c r="AA150" s="190"/>
      <c r="AB150" s="190"/>
      <c r="AC150" s="190"/>
      <c r="AD150" s="190"/>
      <c r="AE150" s="205">
        <v>46023</v>
      </c>
      <c r="AF150" s="205">
        <v>46112</v>
      </c>
      <c r="AG150" s="203"/>
      <c r="AH150" s="203"/>
      <c r="AI150" s="203"/>
      <c r="AJ150" s="203"/>
      <c r="AK150" s="203"/>
      <c r="AL150" s="203"/>
      <c r="AM150" s="221"/>
      <c r="AN150" s="221"/>
      <c r="AO150" s="221"/>
      <c r="AP150" s="174">
        <v>8210</v>
      </c>
      <c r="AQ150" s="174">
        <v>19991</v>
      </c>
      <c r="AR150" s="166">
        <f t="shared" si="29"/>
        <v>0</v>
      </c>
      <c r="AS150" s="169">
        <f t="shared" si="30"/>
        <v>0</v>
      </c>
      <c r="AT150" s="168"/>
    </row>
    <row r="151" s="116" customFormat="1" ht="99.75" hidden="1" spans="1:46">
      <c r="A151" s="190" t="s">
        <v>722</v>
      </c>
      <c r="B151" s="190" t="s">
        <v>734</v>
      </c>
      <c r="C151" s="190" t="s">
        <v>735</v>
      </c>
      <c r="D151" s="191" t="s">
        <v>736</v>
      </c>
      <c r="E151" s="191" t="s">
        <v>886</v>
      </c>
      <c r="F151" s="191" t="s">
        <v>749</v>
      </c>
      <c r="G151" s="191"/>
      <c r="H151" s="191" t="s">
        <v>1157</v>
      </c>
      <c r="I151" s="191" t="s">
        <v>1158</v>
      </c>
      <c r="J151" s="191" t="s">
        <v>1159</v>
      </c>
      <c r="K151" s="191" t="s">
        <v>959</v>
      </c>
      <c r="L151" s="191" t="s">
        <v>724</v>
      </c>
      <c r="M151" s="191" t="s">
        <v>724</v>
      </c>
      <c r="N151" s="191" t="s">
        <v>724</v>
      </c>
      <c r="O151" s="191" t="s">
        <v>19</v>
      </c>
      <c r="P151" s="191" t="s">
        <v>960</v>
      </c>
      <c r="Q151" s="191" t="s">
        <v>717</v>
      </c>
      <c r="R151" s="191" t="s">
        <v>717</v>
      </c>
      <c r="S151" s="190" t="str">
        <f t="shared" ref="S151:U151" si="35">SUBSTITUTE(Q151,"P","")</f>
        <v>1</v>
      </c>
      <c r="T151" s="190" t="str">
        <f t="shared" si="35"/>
        <v>1</v>
      </c>
      <c r="U151" s="190" t="str">
        <f t="shared" si="35"/>
        <v>1</v>
      </c>
      <c r="V151" s="191">
        <v>2026</v>
      </c>
      <c r="W151" s="197">
        <v>45747</v>
      </c>
      <c r="X151" s="198" t="s">
        <v>891</v>
      </c>
      <c r="Y151" s="190"/>
      <c r="Z151" s="190">
        <v>0</v>
      </c>
      <c r="AA151" s="190"/>
      <c r="AB151" s="190"/>
      <c r="AC151" s="190"/>
      <c r="AD151" s="190"/>
      <c r="AE151" s="205">
        <v>46023</v>
      </c>
      <c r="AF151" s="205">
        <v>46112</v>
      </c>
      <c r="AG151" s="203"/>
      <c r="AH151" s="203"/>
      <c r="AI151" s="203"/>
      <c r="AJ151" s="203"/>
      <c r="AK151" s="203"/>
      <c r="AL151" s="203"/>
      <c r="AM151" s="221"/>
      <c r="AN151" s="221"/>
      <c r="AO151" s="221"/>
      <c r="AP151" s="174">
        <v>8187</v>
      </c>
      <c r="AQ151" s="174">
        <v>19968</v>
      </c>
      <c r="AR151" s="166">
        <f t="shared" si="29"/>
        <v>0</v>
      </c>
      <c r="AS151" s="169">
        <v>62</v>
      </c>
      <c r="AT151" s="168"/>
    </row>
    <row r="152" s="116" customFormat="1" ht="57" hidden="1" spans="1:46">
      <c r="A152" s="190" t="s">
        <v>825</v>
      </c>
      <c r="B152" s="190" t="s">
        <v>734</v>
      </c>
      <c r="C152" s="190" t="s">
        <v>724</v>
      </c>
      <c r="D152" s="191" t="s">
        <v>1083</v>
      </c>
      <c r="E152" s="191" t="s">
        <v>847</v>
      </c>
      <c r="F152" s="191" t="s">
        <v>738</v>
      </c>
      <c r="G152" s="191"/>
      <c r="H152" s="191" t="s">
        <v>1160</v>
      </c>
      <c r="I152" s="191" t="s">
        <v>1161</v>
      </c>
      <c r="J152" s="191" t="s">
        <v>1162</v>
      </c>
      <c r="K152" s="191" t="s">
        <v>730</v>
      </c>
      <c r="L152" s="191" t="s">
        <v>724</v>
      </c>
      <c r="M152" s="191" t="s">
        <v>724</v>
      </c>
      <c r="N152" s="191" t="s">
        <v>724</v>
      </c>
      <c r="O152" s="191" t="s">
        <v>744</v>
      </c>
      <c r="P152" s="193" t="s">
        <v>1075</v>
      </c>
      <c r="Q152" s="200" t="s">
        <v>755</v>
      </c>
      <c r="R152" s="193" t="s">
        <v>718</v>
      </c>
      <c r="S152" s="190">
        <v>1</v>
      </c>
      <c r="T152" s="190">
        <v>2</v>
      </c>
      <c r="U152" s="190">
        <v>2</v>
      </c>
      <c r="V152" s="193">
        <v>2026</v>
      </c>
      <c r="W152" s="201">
        <v>46112</v>
      </c>
      <c r="X152" s="198" t="s">
        <v>852</v>
      </c>
      <c r="Y152" s="193">
        <v>0</v>
      </c>
      <c r="Z152" s="190"/>
      <c r="AA152" s="190"/>
      <c r="AB152" s="190"/>
      <c r="AC152" s="190"/>
      <c r="AD152" s="190"/>
      <c r="AE152" s="206">
        <v>46023</v>
      </c>
      <c r="AF152" s="206">
        <v>46112</v>
      </c>
      <c r="AG152" s="184"/>
      <c r="AH152" s="184"/>
      <c r="AI152" s="184"/>
      <c r="AJ152" s="184"/>
      <c r="AK152" s="184"/>
      <c r="AL152" s="184"/>
      <c r="AM152" s="188"/>
      <c r="AN152" s="188"/>
      <c r="AO152" s="188"/>
      <c r="AP152" s="202">
        <v>8868</v>
      </c>
      <c r="AQ152" s="202">
        <v>20869</v>
      </c>
      <c r="AR152" s="166">
        <f t="shared" si="29"/>
        <v>0</v>
      </c>
      <c r="AS152" s="169">
        <f t="shared" ref="AS152:AS162" si="36">AR152*8</f>
        <v>0</v>
      </c>
      <c r="AT152" s="168"/>
    </row>
    <row r="153" s="116" customFormat="1" ht="99.75" hidden="1" spans="1:46">
      <c r="A153" s="137" t="s">
        <v>722</v>
      </c>
      <c r="B153" s="137" t="s">
        <v>734</v>
      </c>
      <c r="C153" s="137" t="s">
        <v>735</v>
      </c>
      <c r="D153" s="138" t="s">
        <v>736</v>
      </c>
      <c r="E153" s="138" t="s">
        <v>737</v>
      </c>
      <c r="F153" s="138" t="s">
        <v>738</v>
      </c>
      <c r="G153" s="138" t="s">
        <v>739</v>
      </c>
      <c r="H153" s="138" t="s">
        <v>1163</v>
      </c>
      <c r="I153" s="138" t="s">
        <v>1164</v>
      </c>
      <c r="J153" s="138" t="s">
        <v>1165</v>
      </c>
      <c r="K153" s="138" t="s">
        <v>743</v>
      </c>
      <c r="L153" s="138" t="s">
        <v>724</v>
      </c>
      <c r="M153" s="138" t="s">
        <v>724</v>
      </c>
      <c r="N153" s="191" t="s">
        <v>724</v>
      </c>
      <c r="O153" s="138" t="s">
        <v>744</v>
      </c>
      <c r="P153" s="138" t="s">
        <v>745</v>
      </c>
      <c r="Q153" s="138" t="s">
        <v>718</v>
      </c>
      <c r="R153" s="138" t="s">
        <v>718</v>
      </c>
      <c r="S153" s="137">
        <v>1</v>
      </c>
      <c r="T153" s="137">
        <v>2</v>
      </c>
      <c r="U153" s="137">
        <v>2</v>
      </c>
      <c r="V153" s="138">
        <v>2026</v>
      </c>
      <c r="W153" s="175">
        <v>46112</v>
      </c>
      <c r="X153" s="148" t="s">
        <v>746</v>
      </c>
      <c r="Y153" s="207"/>
      <c r="Z153" s="137"/>
      <c r="AA153" s="137">
        <v>0</v>
      </c>
      <c r="AB153" s="137"/>
      <c r="AC153" s="137"/>
      <c r="AD153" s="137"/>
      <c r="AE153" s="158">
        <v>46023</v>
      </c>
      <c r="AF153" s="158">
        <v>46112</v>
      </c>
      <c r="AG153" s="95"/>
      <c r="AH153" s="95"/>
      <c r="AI153" s="95"/>
      <c r="AJ153" s="95"/>
      <c r="AK153" s="95"/>
      <c r="AL153" s="95"/>
      <c r="AM153" s="162"/>
      <c r="AN153" s="162"/>
      <c r="AO153" s="162"/>
      <c r="AP153" s="174">
        <v>8214</v>
      </c>
      <c r="AQ153" s="174">
        <v>19994</v>
      </c>
      <c r="AR153" s="166">
        <f t="shared" si="29"/>
        <v>0</v>
      </c>
      <c r="AS153" s="169">
        <f t="shared" si="36"/>
        <v>0</v>
      </c>
      <c r="AT153" s="168"/>
    </row>
    <row r="154" s="116" customFormat="1" ht="114" hidden="1" spans="1:46">
      <c r="A154" s="190" t="s">
        <v>825</v>
      </c>
      <c r="B154" s="190" t="s">
        <v>734</v>
      </c>
      <c r="C154" s="190" t="s">
        <v>735</v>
      </c>
      <c r="D154" s="191" t="s">
        <v>846</v>
      </c>
      <c r="E154" s="191" t="s">
        <v>847</v>
      </c>
      <c r="F154" s="191" t="s">
        <v>793</v>
      </c>
      <c r="G154" s="191" t="s">
        <v>1166</v>
      </c>
      <c r="H154" s="191" t="s">
        <v>1167</v>
      </c>
      <c r="I154" s="191" t="s">
        <v>1168</v>
      </c>
      <c r="J154" s="191" t="s">
        <v>1169</v>
      </c>
      <c r="K154" s="191" t="s">
        <v>730</v>
      </c>
      <c r="L154" s="191" t="s">
        <v>724</v>
      </c>
      <c r="M154" s="191" t="s">
        <v>724</v>
      </c>
      <c r="N154" s="191" t="s">
        <v>724</v>
      </c>
      <c r="O154" s="191" t="s">
        <v>19</v>
      </c>
      <c r="P154" s="191" t="s">
        <v>811</v>
      </c>
      <c r="Q154" s="191" t="s">
        <v>717</v>
      </c>
      <c r="R154" s="191" t="s">
        <v>717</v>
      </c>
      <c r="S154" s="191"/>
      <c r="T154" s="190" t="str">
        <f>SUBSTITUTE(R154,"P","")</f>
        <v>1</v>
      </c>
      <c r="U154" s="190"/>
      <c r="V154" s="191">
        <v>2026</v>
      </c>
      <c r="W154" s="197">
        <v>46112</v>
      </c>
      <c r="X154" s="198" t="s">
        <v>852</v>
      </c>
      <c r="Y154" s="190"/>
      <c r="Z154" s="190">
        <v>0</v>
      </c>
      <c r="AA154" s="190"/>
      <c r="AB154" s="190"/>
      <c r="AC154" s="190"/>
      <c r="AD154" s="190"/>
      <c r="AE154" s="205">
        <v>46023</v>
      </c>
      <c r="AF154" s="205">
        <v>46112</v>
      </c>
      <c r="AG154" s="131"/>
      <c r="AH154" s="131"/>
      <c r="AI154" s="131"/>
      <c r="AJ154" s="131"/>
      <c r="AK154" s="131"/>
      <c r="AL154" s="131"/>
      <c r="AM154" s="162"/>
      <c r="AN154" s="162"/>
      <c r="AO154" s="162"/>
      <c r="AP154" s="202">
        <v>8270</v>
      </c>
      <c r="AQ154" s="202">
        <v>19950</v>
      </c>
      <c r="AR154" s="166">
        <f t="shared" si="29"/>
        <v>0</v>
      </c>
      <c r="AS154" s="169">
        <f t="shared" si="36"/>
        <v>0</v>
      </c>
      <c r="AT154" s="168"/>
    </row>
    <row r="155" s="116" customFormat="1" ht="71.25" hidden="1" spans="1:46">
      <c r="A155" s="137" t="s">
        <v>722</v>
      </c>
      <c r="B155" s="137" t="s">
        <v>734</v>
      </c>
      <c r="C155" s="137" t="s">
        <v>735</v>
      </c>
      <c r="D155" s="138" t="s">
        <v>736</v>
      </c>
      <c r="E155" s="138" t="s">
        <v>748</v>
      </c>
      <c r="F155" s="138" t="s">
        <v>793</v>
      </c>
      <c r="G155" s="138" t="s">
        <v>1170</v>
      </c>
      <c r="H155" s="138" t="s">
        <v>1171</v>
      </c>
      <c r="I155" s="138" t="s">
        <v>1172</v>
      </c>
      <c r="J155" s="138" t="s">
        <v>1173</v>
      </c>
      <c r="K155" s="138" t="s">
        <v>730</v>
      </c>
      <c r="L155" s="138" t="s">
        <v>724</v>
      </c>
      <c r="M155" s="138" t="s">
        <v>724</v>
      </c>
      <c r="N155" s="191" t="s">
        <v>724</v>
      </c>
      <c r="O155" s="138" t="s">
        <v>19</v>
      </c>
      <c r="P155" s="138" t="s">
        <v>824</v>
      </c>
      <c r="Q155" s="138" t="s">
        <v>755</v>
      </c>
      <c r="R155" s="138" t="s">
        <v>717</v>
      </c>
      <c r="S155" s="138"/>
      <c r="T155" s="138">
        <v>1</v>
      </c>
      <c r="U155" s="137"/>
      <c r="V155" s="138">
        <v>2026</v>
      </c>
      <c r="W155" s="147">
        <v>46112</v>
      </c>
      <c r="X155" s="148" t="s">
        <v>756</v>
      </c>
      <c r="Y155" s="137">
        <v>0</v>
      </c>
      <c r="Z155" s="137"/>
      <c r="AA155" s="137"/>
      <c r="AB155" s="137"/>
      <c r="AC155" s="137"/>
      <c r="AD155" s="137"/>
      <c r="AE155" s="158">
        <v>46023</v>
      </c>
      <c r="AF155" s="158">
        <v>46112</v>
      </c>
      <c r="AG155" s="131"/>
      <c r="AH155" s="131"/>
      <c r="AI155" s="131"/>
      <c r="AJ155" s="131"/>
      <c r="AK155" s="131"/>
      <c r="AL155" s="131"/>
      <c r="AM155" s="162"/>
      <c r="AN155" s="162"/>
      <c r="AO155" s="162"/>
      <c r="AP155" s="174">
        <v>8265</v>
      </c>
      <c r="AQ155" s="174">
        <v>20047</v>
      </c>
      <c r="AR155" s="166">
        <f t="shared" si="29"/>
        <v>0</v>
      </c>
      <c r="AS155" s="169">
        <f t="shared" si="36"/>
        <v>0</v>
      </c>
      <c r="AT155" s="168"/>
    </row>
    <row r="156" s="116" customFormat="1" ht="99.75" hidden="1" spans="1:46">
      <c r="A156" s="190" t="s">
        <v>722</v>
      </c>
      <c r="B156" s="190" t="s">
        <v>723</v>
      </c>
      <c r="C156" s="190" t="s">
        <v>735</v>
      </c>
      <c r="D156" s="191" t="s">
        <v>736</v>
      </c>
      <c r="E156" s="191" t="s">
        <v>886</v>
      </c>
      <c r="F156" s="191" t="s">
        <v>749</v>
      </c>
      <c r="G156" s="191"/>
      <c r="H156" s="191" t="s">
        <v>1174</v>
      </c>
      <c r="I156" s="191" t="s">
        <v>1175</v>
      </c>
      <c r="J156" s="191" t="s">
        <v>1176</v>
      </c>
      <c r="K156" s="191" t="s">
        <v>959</v>
      </c>
      <c r="L156" s="191" t="s">
        <v>724</v>
      </c>
      <c r="M156" s="191" t="s">
        <v>724</v>
      </c>
      <c r="N156" s="191" t="s">
        <v>724</v>
      </c>
      <c r="O156" s="191" t="s">
        <v>19</v>
      </c>
      <c r="P156" s="191" t="s">
        <v>960</v>
      </c>
      <c r="Q156" s="191" t="s">
        <v>717</v>
      </c>
      <c r="R156" s="138" t="s">
        <v>717</v>
      </c>
      <c r="S156" s="137" t="str">
        <f t="shared" ref="S156:U156" si="37">SUBSTITUTE(Q156,"P","")</f>
        <v>1</v>
      </c>
      <c r="T156" s="137" t="str">
        <f t="shared" si="37"/>
        <v>1</v>
      </c>
      <c r="U156" s="137" t="str">
        <f t="shared" si="37"/>
        <v>1</v>
      </c>
      <c r="V156" s="138">
        <v>2026</v>
      </c>
      <c r="W156" s="197">
        <v>45747</v>
      </c>
      <c r="X156" s="198" t="s">
        <v>891</v>
      </c>
      <c r="Y156" s="190"/>
      <c r="Z156" s="190">
        <v>0</v>
      </c>
      <c r="AA156" s="190"/>
      <c r="AB156" s="190"/>
      <c r="AC156" s="190"/>
      <c r="AD156" s="190"/>
      <c r="AE156" s="205">
        <v>46023</v>
      </c>
      <c r="AF156" s="205">
        <v>46112</v>
      </c>
      <c r="AG156" s="95"/>
      <c r="AH156" s="95"/>
      <c r="AI156" s="95"/>
      <c r="AJ156" s="95"/>
      <c r="AK156" s="95"/>
      <c r="AL156" s="95"/>
      <c r="AM156" s="162"/>
      <c r="AN156" s="162"/>
      <c r="AO156" s="162"/>
      <c r="AP156" s="174">
        <v>8203</v>
      </c>
      <c r="AQ156" s="174">
        <v>19984</v>
      </c>
      <c r="AR156" s="166">
        <f t="shared" si="29"/>
        <v>0</v>
      </c>
      <c r="AS156" s="169">
        <f t="shared" si="36"/>
        <v>0</v>
      </c>
      <c r="AT156" s="168" t="s">
        <v>1177</v>
      </c>
    </row>
    <row r="157" s="116" customFormat="1" ht="99.75" hidden="1" spans="1:46">
      <c r="A157" s="190" t="s">
        <v>722</v>
      </c>
      <c r="B157" s="190" t="s">
        <v>723</v>
      </c>
      <c r="C157" s="190" t="s">
        <v>735</v>
      </c>
      <c r="D157" s="191" t="s">
        <v>736</v>
      </c>
      <c r="E157" s="191" t="s">
        <v>886</v>
      </c>
      <c r="F157" s="191" t="s">
        <v>749</v>
      </c>
      <c r="G157" s="191"/>
      <c r="H157" s="191" t="s">
        <v>1178</v>
      </c>
      <c r="I157" s="191" t="s">
        <v>1179</v>
      </c>
      <c r="J157" s="191" t="s">
        <v>1180</v>
      </c>
      <c r="K157" s="191" t="s">
        <v>959</v>
      </c>
      <c r="L157" s="191" t="s">
        <v>724</v>
      </c>
      <c r="M157" s="191" t="s">
        <v>724</v>
      </c>
      <c r="N157" s="191" t="s">
        <v>724</v>
      </c>
      <c r="O157" s="191" t="s">
        <v>19</v>
      </c>
      <c r="P157" s="191" t="s">
        <v>960</v>
      </c>
      <c r="Q157" s="191" t="s">
        <v>717</v>
      </c>
      <c r="R157" s="138" t="s">
        <v>717</v>
      </c>
      <c r="S157" s="137" t="str">
        <f t="shared" ref="S157:U157" si="38">SUBSTITUTE(Q157,"P","")</f>
        <v>1</v>
      </c>
      <c r="T157" s="137" t="str">
        <f t="shared" si="38"/>
        <v>1</v>
      </c>
      <c r="U157" s="137" t="str">
        <f t="shared" si="38"/>
        <v>1</v>
      </c>
      <c r="V157" s="138">
        <v>2026</v>
      </c>
      <c r="W157" s="197">
        <v>45747</v>
      </c>
      <c r="X157" s="198" t="s">
        <v>891</v>
      </c>
      <c r="Y157" s="190"/>
      <c r="Z157" s="190">
        <v>0</v>
      </c>
      <c r="AA157" s="190"/>
      <c r="AB157" s="190"/>
      <c r="AC157" s="190"/>
      <c r="AD157" s="190"/>
      <c r="AE157" s="205">
        <v>46023</v>
      </c>
      <c r="AF157" s="205">
        <v>46112</v>
      </c>
      <c r="AG157" s="95"/>
      <c r="AH157" s="95"/>
      <c r="AI157" s="95"/>
      <c r="AJ157" s="95"/>
      <c r="AK157" s="95"/>
      <c r="AL157" s="95"/>
      <c r="AM157" s="162"/>
      <c r="AN157" s="162"/>
      <c r="AO157" s="162"/>
      <c r="AP157" s="174">
        <v>8206</v>
      </c>
      <c r="AQ157" s="174">
        <v>19987</v>
      </c>
      <c r="AR157" s="166">
        <f t="shared" si="29"/>
        <v>0</v>
      </c>
      <c r="AS157" s="169">
        <f t="shared" si="36"/>
        <v>0</v>
      </c>
      <c r="AT157" s="168" t="s">
        <v>1177</v>
      </c>
    </row>
    <row r="158" s="116" customFormat="1" ht="99.75" hidden="1" spans="1:46">
      <c r="A158" s="190" t="s">
        <v>722</v>
      </c>
      <c r="B158" s="190" t="s">
        <v>723</v>
      </c>
      <c r="C158" s="190" t="s">
        <v>735</v>
      </c>
      <c r="D158" s="191" t="s">
        <v>736</v>
      </c>
      <c r="E158" s="191" t="s">
        <v>886</v>
      </c>
      <c r="F158" s="191" t="s">
        <v>749</v>
      </c>
      <c r="G158" s="191"/>
      <c r="H158" s="191" t="s">
        <v>1181</v>
      </c>
      <c r="I158" s="191" t="s">
        <v>1181</v>
      </c>
      <c r="J158" s="191" t="s">
        <v>1182</v>
      </c>
      <c r="K158" s="191" t="s">
        <v>959</v>
      </c>
      <c r="L158" s="191" t="s">
        <v>724</v>
      </c>
      <c r="M158" s="191" t="s">
        <v>724</v>
      </c>
      <c r="N158" s="191" t="s">
        <v>724</v>
      </c>
      <c r="O158" s="191" t="s">
        <v>19</v>
      </c>
      <c r="P158" s="191" t="s">
        <v>960</v>
      </c>
      <c r="Q158" s="191" t="s">
        <v>717</v>
      </c>
      <c r="R158" s="138" t="s">
        <v>717</v>
      </c>
      <c r="S158" s="137" t="str">
        <f t="shared" ref="S158:U158" si="39">SUBSTITUTE(Q158,"P","")</f>
        <v>1</v>
      </c>
      <c r="T158" s="137" t="str">
        <f t="shared" si="39"/>
        <v>1</v>
      </c>
      <c r="U158" s="137" t="str">
        <f t="shared" si="39"/>
        <v>1</v>
      </c>
      <c r="V158" s="138">
        <v>2026</v>
      </c>
      <c r="W158" s="197">
        <v>45747</v>
      </c>
      <c r="X158" s="198" t="s">
        <v>891</v>
      </c>
      <c r="Y158" s="190"/>
      <c r="Z158" s="190">
        <v>0</v>
      </c>
      <c r="AA158" s="190"/>
      <c r="AB158" s="190"/>
      <c r="AC158" s="190"/>
      <c r="AD158" s="190"/>
      <c r="AE158" s="205">
        <v>46023</v>
      </c>
      <c r="AF158" s="205">
        <v>46112</v>
      </c>
      <c r="AG158" s="95"/>
      <c r="AH158" s="95"/>
      <c r="AI158" s="95"/>
      <c r="AJ158" s="95"/>
      <c r="AK158" s="95"/>
      <c r="AL158" s="95"/>
      <c r="AM158" s="162"/>
      <c r="AN158" s="162"/>
      <c r="AO158" s="162"/>
      <c r="AP158" s="174">
        <v>8207</v>
      </c>
      <c r="AQ158" s="174">
        <v>19988</v>
      </c>
      <c r="AR158" s="166">
        <f t="shared" si="29"/>
        <v>0</v>
      </c>
      <c r="AS158" s="169">
        <f t="shared" si="36"/>
        <v>0</v>
      </c>
      <c r="AT158" s="168" t="s">
        <v>1177</v>
      </c>
    </row>
    <row r="159" s="116" customFormat="1" ht="57" hidden="1" spans="1:46">
      <c r="A159" s="190" t="s">
        <v>722</v>
      </c>
      <c r="B159" s="191" t="s">
        <v>734</v>
      </c>
      <c r="C159" s="191" t="s">
        <v>735</v>
      </c>
      <c r="D159" s="191" t="s">
        <v>736</v>
      </c>
      <c r="E159" s="191" t="s">
        <v>1017</v>
      </c>
      <c r="F159" s="191" t="s">
        <v>749</v>
      </c>
      <c r="G159" s="191"/>
      <c r="H159" s="191" t="s">
        <v>1183</v>
      </c>
      <c r="I159" s="191" t="s">
        <v>1019</v>
      </c>
      <c r="J159" s="194" t="s">
        <v>915</v>
      </c>
      <c r="K159" s="191" t="s">
        <v>1020</v>
      </c>
      <c r="L159" s="190" t="s">
        <v>724</v>
      </c>
      <c r="M159" s="190" t="s">
        <v>724</v>
      </c>
      <c r="N159" s="191" t="s">
        <v>724</v>
      </c>
      <c r="O159" s="191" t="s">
        <v>1021</v>
      </c>
      <c r="P159" s="191" t="s">
        <v>1022</v>
      </c>
      <c r="Q159" s="202" t="s">
        <v>717</v>
      </c>
      <c r="R159" s="202" t="s">
        <v>717</v>
      </c>
      <c r="S159" s="202">
        <v>1</v>
      </c>
      <c r="T159" s="202">
        <v>1</v>
      </c>
      <c r="U159" s="203">
        <v>1</v>
      </c>
      <c r="V159" s="191">
        <v>2026</v>
      </c>
      <c r="W159" s="197">
        <v>46112</v>
      </c>
      <c r="X159" s="198" t="s">
        <v>746</v>
      </c>
      <c r="Y159" s="203"/>
      <c r="Z159" s="203">
        <v>0</v>
      </c>
      <c r="AA159" s="203"/>
      <c r="AB159" s="203"/>
      <c r="AC159" s="203"/>
      <c r="AD159" s="203"/>
      <c r="AE159" s="208">
        <v>46023</v>
      </c>
      <c r="AF159" s="208">
        <v>45747</v>
      </c>
      <c r="AG159" s="187">
        <f>Y159</f>
        <v>0</v>
      </c>
      <c r="AH159" s="161">
        <f>IFERROR(IF($U159=1,Z159*$AA$1,IF($U159=2,Z159*$AA$2,IF($U159=3,Z159*$AA$3,IF($U159=4,Z159*$AA$4)))),0)</f>
        <v>0</v>
      </c>
      <c r="AI159" s="161">
        <f>IFERROR(IF($U159=1,AA159*$AA$1,IF($U159=2,AA159*$AA$2,IF($U159=3,AA159*$AA$3,IF($U159=4,AA159*$AA$4)))),0)</f>
        <v>0</v>
      </c>
      <c r="AJ159" s="161">
        <f>IF($U159=1,AB159*$AA$1,IF($U159=2,AB159*$AA$2,IF($U159=3,AB159*$AA$3,IF($U159=4,AB159*$AA$4))))</f>
        <v>0</v>
      </c>
      <c r="AK159" s="161">
        <f>IF($U159=1,AC159*$AA$1,IF($U159=2,AC159*$AA$2,IF($U159=3,AC159*$AA$3,IF($U159=4,AC159*$AA$4))))</f>
        <v>0</v>
      </c>
      <c r="AL159" s="161">
        <f>AD159</f>
        <v>0</v>
      </c>
      <c r="AM159" s="162"/>
      <c r="AN159" s="162"/>
      <c r="AO159" s="162"/>
      <c r="AP159" s="202">
        <v>8232</v>
      </c>
      <c r="AQ159" s="202">
        <v>20013</v>
      </c>
      <c r="AR159" s="166">
        <f t="shared" si="29"/>
        <v>0</v>
      </c>
      <c r="AS159" s="169">
        <f t="shared" si="36"/>
        <v>0</v>
      </c>
      <c r="AT159" s="168"/>
    </row>
    <row r="160" s="116" customFormat="1" ht="57" hidden="1" spans="1:46">
      <c r="A160" s="190" t="s">
        <v>722</v>
      </c>
      <c r="B160" s="191" t="s">
        <v>734</v>
      </c>
      <c r="C160" s="191" t="s">
        <v>735</v>
      </c>
      <c r="D160" s="191" t="s">
        <v>736</v>
      </c>
      <c r="E160" s="191" t="s">
        <v>1017</v>
      </c>
      <c r="F160" s="191" t="s">
        <v>749</v>
      </c>
      <c r="G160" s="191"/>
      <c r="H160" s="191" t="s">
        <v>1184</v>
      </c>
      <c r="I160" s="191" t="s">
        <v>1019</v>
      </c>
      <c r="J160" s="194" t="s">
        <v>915</v>
      </c>
      <c r="K160" s="191" t="s">
        <v>1020</v>
      </c>
      <c r="L160" s="190" t="s">
        <v>724</v>
      </c>
      <c r="M160" s="190" t="s">
        <v>724</v>
      </c>
      <c r="N160" s="190" t="s">
        <v>724</v>
      </c>
      <c r="O160" s="191" t="s">
        <v>1021</v>
      </c>
      <c r="P160" s="191" t="s">
        <v>1022</v>
      </c>
      <c r="Q160" s="202" t="s">
        <v>717</v>
      </c>
      <c r="R160" s="202" t="s">
        <v>717</v>
      </c>
      <c r="S160" s="202">
        <v>1</v>
      </c>
      <c r="T160" s="202">
        <v>1</v>
      </c>
      <c r="U160" s="203">
        <v>1</v>
      </c>
      <c r="V160" s="191">
        <v>2026</v>
      </c>
      <c r="W160" s="197">
        <v>46112</v>
      </c>
      <c r="X160" s="198" t="s">
        <v>746</v>
      </c>
      <c r="Y160" s="203"/>
      <c r="Z160" s="203">
        <v>0</v>
      </c>
      <c r="AA160" s="203"/>
      <c r="AB160" s="203"/>
      <c r="AC160" s="203"/>
      <c r="AD160" s="203"/>
      <c r="AE160" s="208">
        <v>46023</v>
      </c>
      <c r="AF160" s="208">
        <v>45747</v>
      </c>
      <c r="AG160" s="187">
        <f>Y160</f>
        <v>0</v>
      </c>
      <c r="AH160" s="161">
        <f>IFERROR(IF($U160=1,Z160*$AA$1,IF($U160=2,Z160*$AA$2,IF($U160=3,Z160*$AA$3,IF($U160=4,Z160*$AA$4)))),0)</f>
        <v>0</v>
      </c>
      <c r="AI160" s="161">
        <f>IFERROR(IF($U160=1,AA160*$AA$1,IF($U160=2,AA160*$AA$2,IF($U160=3,AA160*$AA$3,IF($U160=4,AA160*$AA$4)))),0)</f>
        <v>0</v>
      </c>
      <c r="AJ160" s="161">
        <f>IF($U160=1,AB160*$AA$1,IF($U160=2,AB160*$AA$2,IF($U160=3,AB160*$AA$3,IF($U160=4,AB160*$AA$4))))</f>
        <v>0</v>
      </c>
      <c r="AK160" s="161">
        <f>IF($U160=1,AC160*$AA$1,IF($U160=2,AC160*$AA$2,IF($U160=3,AC160*$AA$3,IF($U160=4,AC160*$AA$4))))</f>
        <v>0</v>
      </c>
      <c r="AL160" s="161">
        <f>AD160</f>
        <v>0</v>
      </c>
      <c r="AM160" s="162"/>
      <c r="AN160" s="162"/>
      <c r="AO160" s="162"/>
      <c r="AP160" s="202">
        <v>8236</v>
      </c>
      <c r="AQ160" s="202">
        <v>20017</v>
      </c>
      <c r="AR160" s="166">
        <f t="shared" si="29"/>
        <v>0</v>
      </c>
      <c r="AS160" s="169">
        <f t="shared" si="36"/>
        <v>0</v>
      </c>
      <c r="AT160" s="168"/>
    </row>
    <row r="161" s="116" customFormat="1" ht="57" hidden="1" spans="1:46">
      <c r="A161" s="190" t="s">
        <v>722</v>
      </c>
      <c r="B161" s="191" t="s">
        <v>734</v>
      </c>
      <c r="C161" s="191" t="s">
        <v>735</v>
      </c>
      <c r="D161" s="191" t="s">
        <v>736</v>
      </c>
      <c r="E161" s="191" t="s">
        <v>1017</v>
      </c>
      <c r="F161" s="191" t="s">
        <v>749</v>
      </c>
      <c r="G161" s="191"/>
      <c r="H161" s="191" t="s">
        <v>1185</v>
      </c>
      <c r="I161" s="191" t="s">
        <v>1019</v>
      </c>
      <c r="J161" s="194" t="s">
        <v>915</v>
      </c>
      <c r="K161" s="191" t="s">
        <v>1020</v>
      </c>
      <c r="L161" s="190" t="s">
        <v>724</v>
      </c>
      <c r="M161" s="190" t="s">
        <v>724</v>
      </c>
      <c r="N161" s="190" t="s">
        <v>724</v>
      </c>
      <c r="O161" s="191" t="s">
        <v>1021</v>
      </c>
      <c r="P161" s="191" t="s">
        <v>1022</v>
      </c>
      <c r="Q161" s="202" t="s">
        <v>717</v>
      </c>
      <c r="R161" s="202" t="s">
        <v>717</v>
      </c>
      <c r="S161" s="202">
        <v>1</v>
      </c>
      <c r="T161" s="202">
        <v>1</v>
      </c>
      <c r="U161" s="203">
        <v>1</v>
      </c>
      <c r="V161" s="191">
        <v>2026</v>
      </c>
      <c r="W161" s="197">
        <v>46112</v>
      </c>
      <c r="X161" s="198" t="s">
        <v>746</v>
      </c>
      <c r="Y161" s="203"/>
      <c r="Z161" s="203">
        <v>0</v>
      </c>
      <c r="AA161" s="203"/>
      <c r="AB161" s="203"/>
      <c r="AC161" s="203"/>
      <c r="AD161" s="203"/>
      <c r="AE161" s="208">
        <v>46023</v>
      </c>
      <c r="AF161" s="208">
        <v>45747</v>
      </c>
      <c r="AG161" s="187">
        <f>Y161</f>
        <v>0</v>
      </c>
      <c r="AH161" s="161">
        <f>IFERROR(IF($U161=1,Z161*$AA$1,IF($U161=2,Z161*$AA$2,IF($U161=3,Z161*$AA$3,IF($U161=4,Z161*$AA$4)))),0)</f>
        <v>0</v>
      </c>
      <c r="AI161" s="161">
        <f>IFERROR(IF($U161=1,AA161*$AA$1,IF($U161=2,AA161*$AA$2,IF($U161=3,AA161*$AA$3,IF($U161=4,AA161*$AA$4)))),0)</f>
        <v>0</v>
      </c>
      <c r="AJ161" s="161">
        <f>IF($U161=1,AB161*$AA$1,IF($U161=2,AB161*$AA$2,IF($U161=3,AB161*$AA$3,IF($U161=4,AB161*$AA$4))))</f>
        <v>0</v>
      </c>
      <c r="AK161" s="161">
        <f>IF($U161=1,AC161*$AA$1,IF($U161=2,AC161*$AA$2,IF($U161=3,AC161*$AA$3,IF($U161=4,AC161*$AA$4))))</f>
        <v>0</v>
      </c>
      <c r="AL161" s="161">
        <f>AD161</f>
        <v>0</v>
      </c>
      <c r="AM161" s="162"/>
      <c r="AN161" s="162"/>
      <c r="AO161" s="162"/>
      <c r="AP161" s="202">
        <v>8237</v>
      </c>
      <c r="AQ161" s="202">
        <v>20018</v>
      </c>
      <c r="AR161" s="166">
        <f t="shared" si="29"/>
        <v>0</v>
      </c>
      <c r="AS161" s="169">
        <f t="shared" si="36"/>
        <v>0</v>
      </c>
      <c r="AT161" s="168"/>
    </row>
    <row r="162" s="116" customFormat="1" ht="57" hidden="1" spans="1:46">
      <c r="A162" s="190" t="s">
        <v>722</v>
      </c>
      <c r="B162" s="191" t="s">
        <v>734</v>
      </c>
      <c r="C162" s="191" t="s">
        <v>735</v>
      </c>
      <c r="D162" s="191" t="s">
        <v>736</v>
      </c>
      <c r="E162" s="191" t="s">
        <v>1017</v>
      </c>
      <c r="F162" s="191" t="s">
        <v>749</v>
      </c>
      <c r="G162" s="191"/>
      <c r="H162" s="191" t="s">
        <v>1186</v>
      </c>
      <c r="I162" s="191" t="s">
        <v>1019</v>
      </c>
      <c r="J162" s="194" t="s">
        <v>915</v>
      </c>
      <c r="K162" s="191" t="s">
        <v>1020</v>
      </c>
      <c r="L162" s="190" t="s">
        <v>724</v>
      </c>
      <c r="M162" s="190" t="s">
        <v>724</v>
      </c>
      <c r="N162" s="190" t="s">
        <v>724</v>
      </c>
      <c r="O162" s="191" t="s">
        <v>1021</v>
      </c>
      <c r="P162" s="191" t="s">
        <v>1022</v>
      </c>
      <c r="Q162" s="202" t="s">
        <v>717</v>
      </c>
      <c r="R162" s="202" t="s">
        <v>717</v>
      </c>
      <c r="S162" s="202">
        <v>1</v>
      </c>
      <c r="T162" s="202">
        <v>1</v>
      </c>
      <c r="U162" s="203">
        <v>1</v>
      </c>
      <c r="V162" s="191">
        <v>2026</v>
      </c>
      <c r="W162" s="197">
        <v>46112</v>
      </c>
      <c r="X162" s="198" t="s">
        <v>746</v>
      </c>
      <c r="Y162" s="203"/>
      <c r="Z162" s="203">
        <v>0</v>
      </c>
      <c r="AA162" s="203"/>
      <c r="AB162" s="203"/>
      <c r="AC162" s="203"/>
      <c r="AD162" s="203"/>
      <c r="AE162" s="208">
        <v>46023</v>
      </c>
      <c r="AF162" s="208">
        <v>45747</v>
      </c>
      <c r="AG162" s="187">
        <f>Y162</f>
        <v>0</v>
      </c>
      <c r="AH162" s="161">
        <f>IFERROR(IF($U162=1,Z162*$AA$1,IF($U162=2,Z162*$AA$2,IF($U162=3,Z162*$AA$3,IF($U162=4,Z162*$AA$4)))),0)</f>
        <v>0</v>
      </c>
      <c r="AI162" s="161">
        <f>IFERROR(IF($U162=1,AA162*$AA$1,IF($U162=2,AA162*$AA$2,IF($U162=3,AA162*$AA$3,IF($U162=4,AA162*$AA$4)))),0)</f>
        <v>0</v>
      </c>
      <c r="AJ162" s="161">
        <f>IF($U162=1,AB162*$AA$1,IF($U162=2,AB162*$AA$2,IF($U162=3,AB162*$AA$3,IF($U162=4,AB162*$AA$4))))</f>
        <v>0</v>
      </c>
      <c r="AK162" s="161">
        <f>IF($U162=1,AC162*$AA$1,IF($U162=2,AC162*$AA$2,IF($U162=3,AC162*$AA$3,IF($U162=4,AC162*$AA$4))))</f>
        <v>0</v>
      </c>
      <c r="AL162" s="161">
        <f>AD162</f>
        <v>0</v>
      </c>
      <c r="AM162" s="162"/>
      <c r="AN162" s="162"/>
      <c r="AO162" s="162"/>
      <c r="AP162" s="202">
        <v>8239</v>
      </c>
      <c r="AQ162" s="202">
        <v>20020</v>
      </c>
      <c r="AR162" s="166">
        <f t="shared" si="29"/>
        <v>0</v>
      </c>
      <c r="AS162" s="169">
        <f t="shared" si="36"/>
        <v>0</v>
      </c>
      <c r="AT162" s="168"/>
    </row>
    <row r="163" s="116" customFormat="1" hidden="1" spans="1:46">
      <c r="A163" s="192"/>
      <c r="B163" s="192"/>
      <c r="C163" s="192"/>
      <c r="D163" s="133" t="s">
        <v>1187</v>
      </c>
      <c r="E163" s="133"/>
      <c r="F163" s="133"/>
      <c r="G163" s="133"/>
      <c r="H163" s="133"/>
      <c r="I163" s="133"/>
      <c r="J163" s="133"/>
      <c r="K163" s="133"/>
      <c r="L163" s="133"/>
      <c r="M163" s="195"/>
      <c r="N163" s="195"/>
      <c r="O163" s="133"/>
      <c r="P163" s="133"/>
      <c r="Q163" s="132"/>
      <c r="R163" s="132"/>
      <c r="S163" s="132"/>
      <c r="T163" s="132"/>
      <c r="U163" s="95"/>
      <c r="V163" s="132"/>
      <c r="W163" s="132"/>
      <c r="X163" s="132"/>
      <c r="Y163" s="95" t="e">
        <f>SUBTOTAL(9,#REF!)</f>
        <v>#REF!</v>
      </c>
      <c r="Z163" s="95" t="e">
        <f>SUBTOTAL(9,#REF!)</f>
        <v>#REF!</v>
      </c>
      <c r="AA163" s="95" t="e">
        <f>SUBTOTAL(9,#REF!)</f>
        <v>#REF!</v>
      </c>
      <c r="AB163" s="95" t="e">
        <f>SUBTOTAL(9,#REF!)</f>
        <v>#REF!</v>
      </c>
      <c r="AC163" s="95" t="e">
        <f>SUBTOTAL(9,#REF!)</f>
        <v>#REF!</v>
      </c>
      <c r="AD163" s="95"/>
      <c r="AE163" s="156"/>
      <c r="AF163" s="156"/>
      <c r="AG163" s="95" t="e">
        <f>SUBTOTAL(9,#REF!)</f>
        <v>#REF!</v>
      </c>
      <c r="AH163" s="95" t="e">
        <f>SUBTOTAL(9,#REF!)</f>
        <v>#REF!</v>
      </c>
      <c r="AI163" s="95" t="e">
        <f>SUBTOTAL(9,#REF!)</f>
        <v>#REF!</v>
      </c>
      <c r="AJ163" s="95" t="e">
        <f>SUBTOTAL(9,#REF!)</f>
        <v>#REF!</v>
      </c>
      <c r="AK163" s="95" t="e">
        <f>SUBTOTAL(9,#REF!)</f>
        <v>#REF!</v>
      </c>
      <c r="AL163" s="95" t="e">
        <f>SUBTOTAL(9,#REF!)</f>
        <v>#REF!</v>
      </c>
      <c r="AM163" s="162"/>
      <c r="AN163" s="162"/>
      <c r="AO163" s="162"/>
      <c r="AP163" s="166"/>
      <c r="AQ163" s="166"/>
      <c r="AR163" s="166"/>
      <c r="AS163" s="169"/>
      <c r="AT163" s="168"/>
    </row>
    <row r="164" s="116" customFormat="1" hidden="1" spans="1:46">
      <c r="A164" s="192"/>
      <c r="B164" s="192"/>
      <c r="C164" s="192"/>
      <c r="D164" s="133" t="s">
        <v>1188</v>
      </c>
      <c r="E164" s="133"/>
      <c r="F164" s="133"/>
      <c r="G164" s="133"/>
      <c r="H164" s="133"/>
      <c r="I164" s="133"/>
      <c r="J164" s="133"/>
      <c r="K164" s="133"/>
      <c r="L164" s="133"/>
      <c r="M164" s="195"/>
      <c r="N164" s="195"/>
      <c r="O164" s="133"/>
      <c r="P164" s="133"/>
      <c r="Q164" s="132"/>
      <c r="R164" s="132"/>
      <c r="S164" s="132"/>
      <c r="T164" s="132"/>
      <c r="U164" s="95"/>
      <c r="V164" s="132"/>
      <c r="W164" s="132"/>
      <c r="X164" s="132"/>
      <c r="Y164" s="209" t="e">
        <f t="shared" ref="Y164:AD164" si="40">Y163/21.75</f>
        <v>#REF!</v>
      </c>
      <c r="Z164" s="209" t="e">
        <f t="shared" si="40"/>
        <v>#REF!</v>
      </c>
      <c r="AA164" s="209" t="e">
        <f t="shared" si="40"/>
        <v>#REF!</v>
      </c>
      <c r="AB164" s="209" t="e">
        <f t="shared" si="40"/>
        <v>#REF!</v>
      </c>
      <c r="AC164" s="209" t="e">
        <f t="shared" si="40"/>
        <v>#REF!</v>
      </c>
      <c r="AD164" s="209">
        <f t="shared" si="40"/>
        <v>0</v>
      </c>
      <c r="AE164" s="209"/>
      <c r="AF164" s="209"/>
      <c r="AG164" s="209" t="e">
        <f t="shared" ref="AG164:AL164" si="41">AG163/21.75</f>
        <v>#REF!</v>
      </c>
      <c r="AH164" s="209" t="e">
        <f t="shared" si="41"/>
        <v>#REF!</v>
      </c>
      <c r="AI164" s="209" t="e">
        <f t="shared" si="41"/>
        <v>#REF!</v>
      </c>
      <c r="AJ164" s="209" t="e">
        <f t="shared" si="41"/>
        <v>#REF!</v>
      </c>
      <c r="AK164" s="209" t="e">
        <f t="shared" si="41"/>
        <v>#REF!</v>
      </c>
      <c r="AL164" s="209" t="e">
        <f t="shared" si="41"/>
        <v>#REF!</v>
      </c>
      <c r="AM164" s="222"/>
      <c r="AN164" s="223"/>
      <c r="AO164" s="223"/>
      <c r="AP164" s="166"/>
      <c r="AQ164" s="166"/>
      <c r="AR164" s="166"/>
      <c r="AS164" s="169"/>
      <c r="AT164" s="168"/>
    </row>
    <row r="165" s="116" customFormat="1" hidden="1" spans="1:46">
      <c r="A165" s="192"/>
      <c r="B165" s="192"/>
      <c r="C165" s="192"/>
      <c r="D165" s="133" t="s">
        <v>1189</v>
      </c>
      <c r="E165" s="133"/>
      <c r="F165" s="133"/>
      <c r="G165" s="133"/>
      <c r="H165" s="133"/>
      <c r="I165" s="133"/>
      <c r="J165" s="133"/>
      <c r="K165" s="133"/>
      <c r="L165" s="133"/>
      <c r="M165" s="195"/>
      <c r="N165" s="195"/>
      <c r="O165" s="133"/>
      <c r="P165" s="133"/>
      <c r="Q165" s="132"/>
      <c r="R165" s="132"/>
      <c r="S165" s="132"/>
      <c r="T165" s="132"/>
      <c r="U165" s="95"/>
      <c r="V165" s="132"/>
      <c r="W165" s="132"/>
      <c r="X165" s="132"/>
      <c r="Y165" s="210" t="e">
        <f>Y164*#REF!</f>
        <v>#REF!</v>
      </c>
      <c r="Z165" s="210" t="e">
        <f>Z164*#REF!</f>
        <v>#REF!</v>
      </c>
      <c r="AA165" s="211" t="e">
        <f>AA164*#REF!</f>
        <v>#REF!</v>
      </c>
      <c r="AB165" s="210" t="e">
        <f>AB164*#REF!</f>
        <v>#REF!</v>
      </c>
      <c r="AC165" s="210" t="e">
        <f>AC164*#REF!</f>
        <v>#REF!</v>
      </c>
      <c r="AD165" s="210" t="e">
        <f>AD164*#REF!</f>
        <v>#REF!</v>
      </c>
      <c r="AE165" s="212"/>
      <c r="AF165" s="95"/>
      <c r="AG165" s="210" t="e">
        <f>AG164*#REF!</f>
        <v>#REF!</v>
      </c>
      <c r="AH165" s="210" t="e">
        <f>AH164*#REF!</f>
        <v>#REF!</v>
      </c>
      <c r="AI165" s="211" t="e">
        <f>AI164*#REF!</f>
        <v>#REF!</v>
      </c>
      <c r="AJ165" s="210" t="e">
        <f>AJ164*#REF!</f>
        <v>#REF!</v>
      </c>
      <c r="AK165" s="210" t="e">
        <f>AK164*#REF!</f>
        <v>#REF!</v>
      </c>
      <c r="AL165" s="210" t="e">
        <f>AL164*#REF!</f>
        <v>#REF!</v>
      </c>
      <c r="AM165" s="224"/>
      <c r="AN165" s="225"/>
      <c r="AO165" s="225"/>
      <c r="AP165" s="166"/>
      <c r="AQ165" s="166"/>
      <c r="AR165" s="166"/>
      <c r="AS165" s="169"/>
      <c r="AT165" s="168"/>
    </row>
    <row r="166" s="116" customFormat="1" hidden="1" spans="1:46">
      <c r="A166" s="192"/>
      <c r="B166" s="192"/>
      <c r="C166" s="192"/>
      <c r="D166" s="133" t="s">
        <v>1190</v>
      </c>
      <c r="E166" s="133"/>
      <c r="F166" s="133"/>
      <c r="G166" s="133"/>
      <c r="H166" s="133"/>
      <c r="I166" s="133"/>
      <c r="J166" s="133"/>
      <c r="K166" s="133"/>
      <c r="L166" s="133"/>
      <c r="M166" s="195"/>
      <c r="N166" s="195"/>
      <c r="O166" s="133"/>
      <c r="P166" s="133"/>
      <c r="Q166" s="132"/>
      <c r="R166" s="132"/>
      <c r="S166" s="132"/>
      <c r="T166" s="132"/>
      <c r="U166" s="95"/>
      <c r="V166" s="132"/>
      <c r="W166" s="132"/>
      <c r="X166" s="132"/>
      <c r="Y166" s="95"/>
      <c r="Z166" s="210"/>
      <c r="AA166" s="95" t="e">
        <f>Z165+AA165+Y165+AB165+AC165+AD165</f>
        <v>#REF!</v>
      </c>
      <c r="AB166" s="95"/>
      <c r="AC166" s="95"/>
      <c r="AD166" s="95"/>
      <c r="AE166" s="95"/>
      <c r="AF166" s="95"/>
      <c r="AG166" s="226"/>
      <c r="AH166" s="226"/>
      <c r="AI166" s="226" t="e">
        <f>AH165+AI165+AG165+AJ165+AK165+AL165</f>
        <v>#REF!</v>
      </c>
      <c r="AJ166" s="226"/>
      <c r="AK166" s="226"/>
      <c r="AL166" s="226"/>
      <c r="AM166" s="223"/>
      <c r="AN166" s="223"/>
      <c r="AO166" s="223"/>
      <c r="AP166" s="166"/>
      <c r="AQ166" s="166"/>
      <c r="AR166" s="166"/>
      <c r="AS166" s="169"/>
      <c r="AT166" s="168"/>
    </row>
    <row r="167" spans="25:38">
      <c r="Y167" s="120"/>
      <c r="AA167" s="120"/>
      <c r="AB167" s="120"/>
      <c r="AC167" s="120"/>
      <c r="AD167" s="120"/>
      <c r="AG167" s="120"/>
      <c r="AH167" s="120"/>
      <c r="AI167" s="120"/>
      <c r="AJ167" s="120"/>
      <c r="AK167" s="120"/>
      <c r="AL167" s="120"/>
    </row>
    <row r="168" spans="26:38">
      <c r="Z168" s="213"/>
      <c r="AA168" s="213"/>
      <c r="AB168" s="214"/>
      <c r="AC168" s="214"/>
      <c r="AD168" s="214"/>
      <c r="AE168" s="214"/>
      <c r="AF168" s="214"/>
      <c r="AG168" s="214"/>
      <c r="AH168" s="213"/>
      <c r="AI168" s="213"/>
      <c r="AJ168" s="214"/>
      <c r="AK168" s="118"/>
      <c r="AL168" s="118"/>
    </row>
    <row r="169" spans="26:35">
      <c r="Z169" s="215"/>
      <c r="AA169" s="216"/>
      <c r="AH169" s="215"/>
      <c r="AI169" s="216"/>
    </row>
    <row r="170" spans="26:34">
      <c r="Z170" s="217"/>
      <c r="AA170" s="218"/>
      <c r="AB170" s="218"/>
      <c r="AC170" s="218"/>
      <c r="AD170" s="218"/>
      <c r="AE170" s="218"/>
      <c r="AF170" s="218"/>
      <c r="AG170" s="227"/>
      <c r="AH170" s="217"/>
    </row>
    <row r="172" spans="16:17">
      <c r="P172" s="196"/>
      <c r="Q172" s="196"/>
    </row>
    <row r="173" spans="16:17">
      <c r="P173" s="196"/>
      <c r="Q173" s="196"/>
    </row>
    <row r="174" spans="16:17">
      <c r="P174" s="196"/>
      <c r="Q174" s="196"/>
    </row>
    <row r="180" spans="9:9">
      <c r="I180" s="118" t="s">
        <v>1191</v>
      </c>
    </row>
    <row r="187" spans="26:26">
      <c r="Z187" s="219" t="s">
        <v>1192</v>
      </c>
    </row>
  </sheetData>
  <autoFilter xmlns:etc="http://www.wps.cn/officeDocument/2017/etCustomData" ref="A6:AT166" etc:filterBottomFollowUsedRange="0">
    <filterColumn colId="13">
      <filters blank="1">
        <filter val="是"/>
      </filters>
    </filterColumn>
    <filterColumn colId="23">
      <filters>
        <filter val="MxSim.Mechanical-通用-GUI-V3.0.0"/>
      </filters>
    </filterColumn>
    <extLst/>
  </autoFilter>
  <mergeCells count="35">
    <mergeCell ref="W1:Y1"/>
    <mergeCell ref="Y5:AD5"/>
    <mergeCell ref="AG5:AL5"/>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U5:U6"/>
    <mergeCell ref="V5:V6"/>
    <mergeCell ref="W5:W6"/>
    <mergeCell ref="X5:X6"/>
    <mergeCell ref="AE5:AE6"/>
    <mergeCell ref="AF5:AF6"/>
    <mergeCell ref="AP5:AP6"/>
    <mergeCell ref="AQ5:AQ6"/>
    <mergeCell ref="AR5:AR6"/>
    <mergeCell ref="AS5:AS6"/>
    <mergeCell ref="AT5:AT6"/>
    <mergeCell ref="AM5:AO6"/>
  </mergeCells>
  <conditionalFormatting sqref="I7">
    <cfRule type="duplicateValues" dxfId="0" priority="40"/>
  </conditionalFormatting>
  <conditionalFormatting sqref="I8">
    <cfRule type="duplicateValues" dxfId="0" priority="41"/>
  </conditionalFormatting>
  <conditionalFormatting sqref="G10">
    <cfRule type="duplicateValues" dxfId="0" priority="71"/>
  </conditionalFormatting>
  <conditionalFormatting sqref="J39">
    <cfRule type="duplicateValues" dxfId="0" priority="43"/>
  </conditionalFormatting>
  <conditionalFormatting sqref="H54">
    <cfRule type="duplicateValues" dxfId="0" priority="1"/>
  </conditionalFormatting>
  <conditionalFormatting sqref="I97">
    <cfRule type="duplicateValues" dxfId="0" priority="38"/>
  </conditionalFormatting>
  <conditionalFormatting sqref="I98">
    <cfRule type="duplicateValues" dxfId="0" priority="37"/>
  </conditionalFormatting>
  <conditionalFormatting sqref="I99">
    <cfRule type="duplicateValues" dxfId="0" priority="36"/>
  </conditionalFormatting>
  <conditionalFormatting sqref="I100">
    <cfRule type="duplicateValues" dxfId="0" priority="33"/>
  </conditionalFormatting>
  <conditionalFormatting sqref="I104">
    <cfRule type="duplicateValues" dxfId="0" priority="31"/>
  </conditionalFormatting>
  <conditionalFormatting sqref="I105">
    <cfRule type="duplicateValues" dxfId="0" priority="17"/>
  </conditionalFormatting>
  <conditionalFormatting sqref="I106">
    <cfRule type="duplicateValues" dxfId="0" priority="20"/>
  </conditionalFormatting>
  <conditionalFormatting sqref="I107">
    <cfRule type="duplicateValues" dxfId="0" priority="30"/>
  </conditionalFormatting>
  <conditionalFormatting sqref="I108">
    <cfRule type="duplicateValues" dxfId="0" priority="19"/>
  </conditionalFormatting>
  <conditionalFormatting sqref="I109">
    <cfRule type="duplicateValues" dxfId="0" priority="2"/>
  </conditionalFormatting>
  <conditionalFormatting sqref="I110">
    <cfRule type="duplicateValues" dxfId="0" priority="18"/>
  </conditionalFormatting>
  <conditionalFormatting sqref="I111">
    <cfRule type="duplicateValues" dxfId="0" priority="29"/>
  </conditionalFormatting>
  <conditionalFormatting sqref="I112">
    <cfRule type="duplicateValues" dxfId="0" priority="27"/>
  </conditionalFormatting>
  <conditionalFormatting sqref="I113">
    <cfRule type="duplicateValues" dxfId="0" priority="26"/>
  </conditionalFormatting>
  <conditionalFormatting sqref="I114">
    <cfRule type="duplicateValues" dxfId="0" priority="25"/>
  </conditionalFormatting>
  <conditionalFormatting sqref="I115">
    <cfRule type="duplicateValues" dxfId="0" priority="24"/>
  </conditionalFormatting>
  <conditionalFormatting sqref="I116">
    <cfRule type="duplicateValues" dxfId="0" priority="23"/>
  </conditionalFormatting>
  <conditionalFormatting sqref="I117">
    <cfRule type="duplicateValues" dxfId="0" priority="22"/>
  </conditionalFormatting>
  <conditionalFormatting sqref="I118">
    <cfRule type="duplicateValues" dxfId="0" priority="21"/>
  </conditionalFormatting>
  <conditionalFormatting sqref="I119">
    <cfRule type="duplicateValues" dxfId="0" priority="28"/>
  </conditionalFormatting>
  <conditionalFormatting sqref="I127">
    <cfRule type="duplicateValues" dxfId="0" priority="7"/>
  </conditionalFormatting>
  <conditionalFormatting sqref="I132">
    <cfRule type="duplicateValues" dxfId="0" priority="9"/>
  </conditionalFormatting>
  <conditionalFormatting sqref="I144">
    <cfRule type="duplicateValues" dxfId="0" priority="3"/>
  </conditionalFormatting>
  <conditionalFormatting sqref="I159">
    <cfRule type="duplicateValues" dxfId="0" priority="39"/>
  </conditionalFormatting>
  <conditionalFormatting sqref="I160">
    <cfRule type="duplicateValues" dxfId="0" priority="35"/>
  </conditionalFormatting>
  <conditionalFormatting sqref="I161">
    <cfRule type="duplicateValues" dxfId="0" priority="34"/>
  </conditionalFormatting>
  <conditionalFormatting sqref="I162">
    <cfRule type="duplicateValues" dxfId="0" priority="32"/>
  </conditionalFormatting>
  <conditionalFormatting sqref="J5:J6">
    <cfRule type="duplicateValues" dxfId="0" priority="78"/>
  </conditionalFormatting>
  <dataValidations count="3">
    <dataValidation type="list" allowBlank="1" showInputMessage="1" showErrorMessage="1" sqref="L41:N41 N55 L127:M127 L154:M154 C7:C23 C31:C42 C47:C162 N47:N53 L34:N36 M42:N46 M57:N63">
      <formula1>"是,否"</formula1>
    </dataValidation>
    <dataValidation type="list" allowBlank="1" showInputMessage="1" showErrorMessage="1" sqref="A7:A23 A31:A42 A47:A162">
      <formula1>"市场需求,ZHGC项目需求,公司关联产品需求,产品主动规划需求"</formula1>
    </dataValidation>
    <dataValidation type="list" allowBlank="1" showInputMessage="1" showErrorMessage="1" sqref="B9:B23 B31:B42 B47:B162">
      <formula1>"高,中,低"</formula1>
    </dataValidation>
  </dataValidations>
  <hyperlinks>
    <hyperlink ref="Z187" r:id="rId3" display="\\\"/>
  </hyperlinks>
  <pageMargins left="0.75" right="0.75" top="1" bottom="1" header="0.5" footer="0.5"/>
  <pageSetup paperSize="8" orientation="landscape"/>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9"/>
  <sheetViews>
    <sheetView zoomScale="70" zoomScaleNormal="70" workbookViewId="0">
      <selection activeCell="I22" sqref="I22"/>
    </sheetView>
  </sheetViews>
  <sheetFormatPr defaultColWidth="9" defaultRowHeight="14.25"/>
  <cols>
    <col min="1" max="12" width="18.025" style="101" customWidth="1"/>
    <col min="13" max="16384" width="9" style="101"/>
  </cols>
  <sheetData>
    <row r="1" ht="33" customHeight="1" spans="1:12">
      <c r="A1" s="102" t="s">
        <v>1193</v>
      </c>
      <c r="B1" s="102"/>
      <c r="C1" s="102"/>
      <c r="D1" s="102"/>
      <c r="E1" s="102"/>
      <c r="F1" s="102"/>
      <c r="G1" s="102"/>
      <c r="H1" s="102"/>
      <c r="I1" s="102"/>
      <c r="J1" s="102"/>
      <c r="K1" s="102"/>
      <c r="L1" s="102"/>
    </row>
    <row r="2" ht="48" customHeight="1" spans="1:12">
      <c r="A2" s="103" t="s">
        <v>1194</v>
      </c>
      <c r="B2" s="104" t="s">
        <v>1195</v>
      </c>
      <c r="C2" s="104" t="s">
        <v>1196</v>
      </c>
      <c r="D2" s="103" t="s">
        <v>1197</v>
      </c>
      <c r="E2" s="104" t="s">
        <v>1198</v>
      </c>
      <c r="F2" s="104" t="s">
        <v>1199</v>
      </c>
      <c r="G2" s="103" t="s">
        <v>1200</v>
      </c>
      <c r="H2" s="104" t="s">
        <v>1201</v>
      </c>
      <c r="I2" s="110" t="s">
        <v>1202</v>
      </c>
      <c r="J2" s="103" t="s">
        <v>1203</v>
      </c>
      <c r="K2" s="103" t="s">
        <v>1204</v>
      </c>
      <c r="L2" s="104" t="s">
        <v>715</v>
      </c>
    </row>
    <row r="3" ht="48" customHeight="1" spans="1:12">
      <c r="A3" s="91"/>
      <c r="B3" s="105"/>
      <c r="C3" s="105"/>
      <c r="D3" s="105"/>
      <c r="E3" s="106"/>
      <c r="F3" s="106"/>
      <c r="G3" s="107"/>
      <c r="H3" s="107"/>
      <c r="I3" s="109"/>
      <c r="J3" s="107"/>
      <c r="K3" s="111"/>
      <c r="L3" s="112"/>
    </row>
    <row r="4" ht="48" customHeight="1" spans="1:12">
      <c r="A4" s="91"/>
      <c r="B4" s="105"/>
      <c r="C4" s="105"/>
      <c r="D4" s="105"/>
      <c r="E4" s="106"/>
      <c r="F4" s="106"/>
      <c r="G4" s="107"/>
      <c r="H4" s="107"/>
      <c r="I4" s="109"/>
      <c r="J4" s="107"/>
      <c r="K4" s="111"/>
      <c r="L4" s="112"/>
    </row>
    <row r="5" ht="48" customHeight="1" spans="1:12">
      <c r="A5" s="91"/>
      <c r="B5" s="105"/>
      <c r="C5" s="105"/>
      <c r="D5" s="105"/>
      <c r="E5" s="106"/>
      <c r="F5" s="106"/>
      <c r="G5" s="107"/>
      <c r="H5" s="107"/>
      <c r="I5" s="109"/>
      <c r="J5" s="107"/>
      <c r="K5" s="111"/>
      <c r="L5" s="112"/>
    </row>
    <row r="6" ht="43" customHeight="1" spans="1:12">
      <c r="A6" s="91"/>
      <c r="B6" s="105"/>
      <c r="C6" s="105"/>
      <c r="D6" s="105"/>
      <c r="E6" s="106"/>
      <c r="F6" s="106"/>
      <c r="G6" s="107"/>
      <c r="H6" s="107"/>
      <c r="I6" s="109"/>
      <c r="J6" s="107"/>
      <c r="K6" s="111"/>
      <c r="L6" s="112"/>
    </row>
    <row r="7" ht="16.5" spans="1:12">
      <c r="A7" s="91"/>
      <c r="B7" s="105"/>
      <c r="C7" s="105"/>
      <c r="D7" s="105"/>
      <c r="E7" s="106"/>
      <c r="F7" s="106"/>
      <c r="G7" s="107"/>
      <c r="H7" s="107"/>
      <c r="I7" s="109"/>
      <c r="J7" s="107"/>
      <c r="K7" s="111"/>
      <c r="L7" s="113"/>
    </row>
    <row r="8" ht="16.5" spans="1:12">
      <c r="A8" s="91"/>
      <c r="B8" s="105"/>
      <c r="C8" s="105"/>
      <c r="D8" s="105"/>
      <c r="E8" s="106"/>
      <c r="F8" s="106"/>
      <c r="G8" s="107"/>
      <c r="H8" s="107"/>
      <c r="I8" s="109"/>
      <c r="J8" s="107"/>
      <c r="K8" s="111"/>
      <c r="L8" s="113"/>
    </row>
    <row r="9" ht="16.5" spans="1:12">
      <c r="A9" s="91"/>
      <c r="B9" s="105"/>
      <c r="C9" s="105"/>
      <c r="D9" s="105"/>
      <c r="E9" s="106"/>
      <c r="F9" s="106"/>
      <c r="G9" s="107"/>
      <c r="H9" s="107"/>
      <c r="I9" s="109"/>
      <c r="J9" s="107"/>
      <c r="K9" s="111"/>
      <c r="L9" s="113"/>
    </row>
    <row r="10" ht="16.5" spans="1:12">
      <c r="A10" s="91"/>
      <c r="B10" s="105"/>
      <c r="C10" s="105"/>
      <c r="D10" s="105"/>
      <c r="E10" s="106"/>
      <c r="F10" s="106"/>
      <c r="G10" s="107"/>
      <c r="H10" s="107"/>
      <c r="I10" s="109"/>
      <c r="J10" s="107"/>
      <c r="K10" s="111"/>
      <c r="L10" s="113"/>
    </row>
    <row r="11" ht="16.5" spans="1:12">
      <c r="A11" s="91"/>
      <c r="B11" s="105"/>
      <c r="C11" s="105"/>
      <c r="D11" s="105"/>
      <c r="E11" s="106"/>
      <c r="F11" s="108"/>
      <c r="G11" s="107"/>
      <c r="H11" s="107"/>
      <c r="I11" s="109"/>
      <c r="J11" s="107"/>
      <c r="K11" s="111"/>
      <c r="L11" s="113"/>
    </row>
    <row r="12" ht="16.5" spans="1:12">
      <c r="A12" s="91"/>
      <c r="B12" s="105"/>
      <c r="C12" s="105"/>
      <c r="D12" s="105"/>
      <c r="E12" s="106"/>
      <c r="F12" s="108"/>
      <c r="G12" s="107"/>
      <c r="H12" s="107"/>
      <c r="I12" s="109"/>
      <c r="J12" s="107"/>
      <c r="K12" s="111"/>
      <c r="L12" s="113"/>
    </row>
    <row r="13" ht="16.5" spans="1:12">
      <c r="A13" s="91"/>
      <c r="B13" s="105"/>
      <c r="C13" s="105"/>
      <c r="D13" s="105"/>
      <c r="E13" s="106"/>
      <c r="F13" s="106"/>
      <c r="G13" s="107"/>
      <c r="H13" s="107"/>
      <c r="I13" s="109"/>
      <c r="J13" s="107"/>
      <c r="K13" s="111"/>
      <c r="L13" s="113"/>
    </row>
    <row r="14" ht="16.5" spans="1:12">
      <c r="A14" s="91"/>
      <c r="B14" s="105"/>
      <c r="C14" s="105"/>
      <c r="D14" s="105"/>
      <c r="E14" s="106"/>
      <c r="F14" s="108"/>
      <c r="G14" s="107"/>
      <c r="H14" s="107"/>
      <c r="I14" s="109"/>
      <c r="J14" s="107"/>
      <c r="K14" s="111"/>
      <c r="L14" s="113"/>
    </row>
    <row r="15" ht="16.5" spans="1:12">
      <c r="A15" s="91"/>
      <c r="B15" s="105"/>
      <c r="C15" s="105"/>
      <c r="D15" s="105"/>
      <c r="E15" s="106"/>
      <c r="F15" s="108"/>
      <c r="G15" s="107"/>
      <c r="H15" s="107"/>
      <c r="I15" s="109"/>
      <c r="J15" s="107"/>
      <c r="K15" s="111"/>
      <c r="L15" s="113"/>
    </row>
    <row r="16" ht="16.5" spans="1:12">
      <c r="A16" s="91"/>
      <c r="B16" s="105"/>
      <c r="C16" s="105"/>
      <c r="D16" s="105"/>
      <c r="E16" s="106"/>
      <c r="F16" s="108"/>
      <c r="G16" s="107"/>
      <c r="H16" s="107"/>
      <c r="I16" s="109"/>
      <c r="J16" s="107"/>
      <c r="K16" s="111"/>
      <c r="L16" s="113"/>
    </row>
    <row r="17" ht="16.5" spans="1:12">
      <c r="A17" s="91"/>
      <c r="B17" s="105"/>
      <c r="C17" s="105"/>
      <c r="D17" s="105"/>
      <c r="E17" s="106"/>
      <c r="F17" s="108"/>
      <c r="G17" s="107"/>
      <c r="H17" s="107"/>
      <c r="I17" s="109"/>
      <c r="J17" s="107"/>
      <c r="K17" s="111"/>
      <c r="L17" s="113"/>
    </row>
    <row r="18" ht="16.5" spans="1:12">
      <c r="A18" s="107" t="s">
        <v>1205</v>
      </c>
      <c r="B18" s="107"/>
      <c r="C18" s="107"/>
      <c r="D18" s="107"/>
      <c r="E18" s="109">
        <f t="shared" ref="E18:I18" si="0">SUM(E3:E17)</f>
        <v>0</v>
      </c>
      <c r="F18" s="109"/>
      <c r="G18" s="109"/>
      <c r="H18" s="109">
        <f t="shared" si="0"/>
        <v>0</v>
      </c>
      <c r="I18" s="109">
        <f t="shared" si="0"/>
        <v>0</v>
      </c>
      <c r="J18" s="107"/>
      <c r="K18" s="114"/>
      <c r="L18" s="113"/>
    </row>
    <row r="19" ht="16.5" spans="1:12">
      <c r="A19" s="107" t="s">
        <v>1206</v>
      </c>
      <c r="B19" s="107"/>
      <c r="C19" s="107"/>
      <c r="D19" s="107"/>
      <c r="E19" s="109" t="e">
        <f>E18/I18</f>
        <v>#DIV/0!</v>
      </c>
      <c r="F19" s="109"/>
      <c r="G19" s="109"/>
      <c r="H19" s="109"/>
      <c r="I19" s="109"/>
      <c r="J19" s="107"/>
      <c r="K19" s="114"/>
      <c r="L19" s="113"/>
    </row>
  </sheetData>
  <mergeCells count="2">
    <mergeCell ref="A1:L1"/>
    <mergeCell ref="E19:I19"/>
  </mergeCells>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
  <sheetViews>
    <sheetView workbookViewId="0">
      <selection activeCell="I19" sqref="I19"/>
    </sheetView>
  </sheetViews>
  <sheetFormatPr defaultColWidth="9" defaultRowHeight="14.25"/>
  <cols>
    <col min="1" max="4" width="12" customWidth="1"/>
    <col min="5" max="8" width="16.5" customWidth="1"/>
    <col min="9" max="11" width="12" customWidth="1"/>
    <col min="12" max="12" width="15.25" customWidth="1"/>
    <col min="13" max="15" width="12" customWidth="1"/>
  </cols>
  <sheetData>
    <row r="1" ht="42" customHeight="1" spans="1:15">
      <c r="A1" s="87" t="s">
        <v>1207</v>
      </c>
      <c r="B1" s="87" t="s">
        <v>1208</v>
      </c>
      <c r="C1" s="88" t="s">
        <v>1194</v>
      </c>
      <c r="D1" s="87" t="s">
        <v>1209</v>
      </c>
      <c r="E1" s="87" t="s">
        <v>1210</v>
      </c>
      <c r="F1" s="89" t="s">
        <v>1211</v>
      </c>
      <c r="G1" s="87" t="s">
        <v>1212</v>
      </c>
      <c r="H1" s="89" t="s">
        <v>1213</v>
      </c>
      <c r="I1" s="87" t="s">
        <v>1214</v>
      </c>
      <c r="J1" s="87" t="s">
        <v>1215</v>
      </c>
      <c r="K1" s="87" t="s">
        <v>1216</v>
      </c>
      <c r="L1" s="89" t="s">
        <v>1217</v>
      </c>
      <c r="M1" s="89" t="s">
        <v>1218</v>
      </c>
      <c r="N1" s="89" t="s">
        <v>1219</v>
      </c>
      <c r="O1" s="89" t="s">
        <v>715</v>
      </c>
    </row>
    <row r="2" spans="1:15">
      <c r="A2" s="90" t="s">
        <v>1220</v>
      </c>
      <c r="B2" s="90" t="s">
        <v>1220</v>
      </c>
      <c r="C2" s="91"/>
      <c r="D2" s="18"/>
      <c r="E2" s="91"/>
      <c r="F2" s="91"/>
      <c r="G2" s="92"/>
      <c r="H2" s="92"/>
      <c r="I2" s="92"/>
      <c r="J2" s="91"/>
      <c r="K2" s="92"/>
      <c r="L2" s="96"/>
      <c r="M2" s="96"/>
      <c r="N2" s="96"/>
      <c r="O2" s="97"/>
    </row>
    <row r="3" spans="1:15">
      <c r="A3" s="90" t="s">
        <v>1220</v>
      </c>
      <c r="B3" s="90" t="s">
        <v>1220</v>
      </c>
      <c r="C3" s="91"/>
      <c r="D3" s="18"/>
      <c r="E3" s="91"/>
      <c r="F3" s="91"/>
      <c r="G3" s="92"/>
      <c r="H3" s="92"/>
      <c r="I3" s="92"/>
      <c r="J3" s="91"/>
      <c r="K3" s="92"/>
      <c r="L3" s="96"/>
      <c r="M3" s="96"/>
      <c r="N3" s="96"/>
      <c r="O3" s="98"/>
    </row>
    <row r="4" spans="1:15">
      <c r="A4" s="90" t="s">
        <v>1220</v>
      </c>
      <c r="B4" s="90" t="s">
        <v>1220</v>
      </c>
      <c r="C4" s="91"/>
      <c r="D4" s="18"/>
      <c r="E4" s="91"/>
      <c r="F4" s="91"/>
      <c r="G4" s="92"/>
      <c r="H4" s="92"/>
      <c r="I4" s="92"/>
      <c r="J4" s="91"/>
      <c r="K4" s="92"/>
      <c r="L4" s="96"/>
      <c r="M4" s="96"/>
      <c r="N4" s="96"/>
      <c r="O4" s="98"/>
    </row>
    <row r="5" spans="1:15">
      <c r="A5" s="90" t="s">
        <v>1220</v>
      </c>
      <c r="B5" s="90" t="s">
        <v>1220</v>
      </c>
      <c r="C5" s="91"/>
      <c r="D5" s="18"/>
      <c r="E5" s="91"/>
      <c r="F5" s="91"/>
      <c r="G5" s="92"/>
      <c r="H5" s="92"/>
      <c r="I5" s="92"/>
      <c r="J5" s="91"/>
      <c r="K5" s="92"/>
      <c r="L5" s="96"/>
      <c r="M5" s="96"/>
      <c r="N5" s="96"/>
      <c r="O5" s="98"/>
    </row>
    <row r="6" spans="1:15">
      <c r="A6" s="90" t="s">
        <v>1220</v>
      </c>
      <c r="B6" s="90" t="s">
        <v>1220</v>
      </c>
      <c r="C6" s="91"/>
      <c r="D6" s="18"/>
      <c r="E6" s="91"/>
      <c r="F6" s="91"/>
      <c r="G6" s="92"/>
      <c r="H6" s="92"/>
      <c r="I6" s="92"/>
      <c r="J6" s="91"/>
      <c r="K6" s="92"/>
      <c r="L6" s="96"/>
      <c r="M6" s="96"/>
      <c r="N6" s="96"/>
      <c r="O6" s="98"/>
    </row>
    <row r="7" spans="1:15">
      <c r="A7" s="90" t="s">
        <v>1220</v>
      </c>
      <c r="B7" s="90" t="s">
        <v>1220</v>
      </c>
      <c r="C7" s="91"/>
      <c r="D7" s="18"/>
      <c r="E7" s="91"/>
      <c r="F7" s="91"/>
      <c r="G7" s="92"/>
      <c r="H7" s="92"/>
      <c r="I7" s="92"/>
      <c r="J7" s="91"/>
      <c r="K7" s="92"/>
      <c r="L7" s="96"/>
      <c r="M7" s="96"/>
      <c r="N7" s="96"/>
      <c r="O7" s="98"/>
    </row>
    <row r="8" spans="1:15">
      <c r="A8" s="90" t="s">
        <v>1220</v>
      </c>
      <c r="B8" s="90" t="s">
        <v>1220</v>
      </c>
      <c r="C8" s="91"/>
      <c r="D8" s="18"/>
      <c r="E8" s="91"/>
      <c r="F8" s="91"/>
      <c r="G8" s="92"/>
      <c r="H8" s="92"/>
      <c r="I8" s="92"/>
      <c r="J8" s="91"/>
      <c r="K8" s="92"/>
      <c r="L8" s="96"/>
      <c r="M8" s="96"/>
      <c r="N8" s="96"/>
      <c r="O8" s="98"/>
    </row>
    <row r="9" spans="1:15">
      <c r="A9" s="90" t="s">
        <v>1220</v>
      </c>
      <c r="B9" s="90" t="s">
        <v>1220</v>
      </c>
      <c r="C9" s="91"/>
      <c r="D9" s="18"/>
      <c r="E9" s="91"/>
      <c r="F9" s="91"/>
      <c r="G9" s="92"/>
      <c r="H9" s="92"/>
      <c r="I9" s="92"/>
      <c r="J9" s="91"/>
      <c r="K9" s="92"/>
      <c r="L9" s="96"/>
      <c r="M9" s="96"/>
      <c r="N9" s="96"/>
      <c r="O9" s="98"/>
    </row>
    <row r="10" spans="1:15">
      <c r="A10" s="90" t="s">
        <v>1220</v>
      </c>
      <c r="B10" s="90" t="s">
        <v>1220</v>
      </c>
      <c r="C10" s="91"/>
      <c r="D10" s="18"/>
      <c r="E10" s="91"/>
      <c r="F10" s="91"/>
      <c r="G10" s="92"/>
      <c r="H10" s="92"/>
      <c r="I10" s="92"/>
      <c r="J10" s="91"/>
      <c r="K10" s="92"/>
      <c r="L10" s="96"/>
      <c r="M10" s="96"/>
      <c r="N10" s="96"/>
      <c r="O10" s="98"/>
    </row>
    <row r="11" spans="1:15">
      <c r="A11" s="90" t="s">
        <v>1220</v>
      </c>
      <c r="B11" s="90" t="s">
        <v>1220</v>
      </c>
      <c r="C11" s="91"/>
      <c r="D11" s="18"/>
      <c r="E11" s="91"/>
      <c r="F11" s="91"/>
      <c r="G11" s="92"/>
      <c r="H11" s="92"/>
      <c r="I11" s="92"/>
      <c r="J11" s="91"/>
      <c r="K11" s="92"/>
      <c r="L11" s="96"/>
      <c r="M11" s="96"/>
      <c r="N11" s="96"/>
      <c r="O11" s="98"/>
    </row>
    <row r="12" spans="1:15">
      <c r="A12" s="93" t="s">
        <v>1220</v>
      </c>
      <c r="B12" s="93" t="s">
        <v>1220</v>
      </c>
      <c r="C12" s="94"/>
      <c r="D12" s="18"/>
      <c r="E12" s="94"/>
      <c r="F12" s="94"/>
      <c r="G12" s="95"/>
      <c r="H12" s="95"/>
      <c r="I12" s="95"/>
      <c r="J12" s="94"/>
      <c r="K12" s="95"/>
      <c r="L12" s="99"/>
      <c r="M12" s="99"/>
      <c r="N12" s="99"/>
      <c r="O12" s="100" t="s">
        <v>1221</v>
      </c>
    </row>
    <row r="13" spans="1:15">
      <c r="A13" s="93" t="s">
        <v>1220</v>
      </c>
      <c r="B13" s="93" t="s">
        <v>1220</v>
      </c>
      <c r="C13" s="94"/>
      <c r="D13" s="18"/>
      <c r="E13" s="94"/>
      <c r="F13" s="94"/>
      <c r="G13" s="95"/>
      <c r="H13" s="95"/>
      <c r="I13" s="95"/>
      <c r="J13" s="94"/>
      <c r="K13" s="95"/>
      <c r="L13" s="99"/>
      <c r="M13" s="99"/>
      <c r="N13" s="99"/>
      <c r="O13" s="100" t="s">
        <v>1222</v>
      </c>
    </row>
    <row r="14" spans="1:15">
      <c r="A14" s="93" t="s">
        <v>1220</v>
      </c>
      <c r="B14" s="93" t="s">
        <v>1220</v>
      </c>
      <c r="C14" s="94"/>
      <c r="D14" s="18"/>
      <c r="E14" s="94"/>
      <c r="F14" s="94"/>
      <c r="G14" s="95"/>
      <c r="H14" s="95"/>
      <c r="I14" s="95"/>
      <c r="J14" s="94"/>
      <c r="K14" s="95"/>
      <c r="L14" s="99"/>
      <c r="M14" s="99"/>
      <c r="N14" s="99"/>
      <c r="O14" s="100" t="s">
        <v>1221</v>
      </c>
    </row>
    <row r="15" spans="1:15">
      <c r="A15" s="93" t="s">
        <v>1220</v>
      </c>
      <c r="B15" s="93" t="s">
        <v>1220</v>
      </c>
      <c r="C15" s="94"/>
      <c r="D15" s="18"/>
      <c r="E15" s="94"/>
      <c r="F15" s="94"/>
      <c r="G15" s="95"/>
      <c r="H15" s="95"/>
      <c r="I15" s="95"/>
      <c r="J15" s="94"/>
      <c r="K15" s="95"/>
      <c r="L15" s="99"/>
      <c r="M15" s="99"/>
      <c r="N15" s="99"/>
      <c r="O15" s="100" t="s">
        <v>1221</v>
      </c>
    </row>
    <row r="16" spans="1:15">
      <c r="A16" s="93" t="s">
        <v>1220</v>
      </c>
      <c r="B16" s="93" t="s">
        <v>1220</v>
      </c>
      <c r="C16" s="94"/>
      <c r="D16" s="18"/>
      <c r="E16" s="94"/>
      <c r="F16" s="94"/>
      <c r="G16" s="95"/>
      <c r="H16" s="95"/>
      <c r="I16" s="95"/>
      <c r="J16" s="94"/>
      <c r="K16" s="95"/>
      <c r="L16" s="99"/>
      <c r="M16" s="99"/>
      <c r="N16" s="99"/>
      <c r="O16" s="100" t="s">
        <v>1221</v>
      </c>
    </row>
  </sheetData>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zoomScale="160" zoomScaleNormal="160" topLeftCell="A3" workbookViewId="0">
      <selection activeCell="F13" sqref="F13"/>
    </sheetView>
  </sheetViews>
  <sheetFormatPr defaultColWidth="9" defaultRowHeight="14.25" outlineLevelCol="4"/>
  <sheetData>
    <row r="1" spans="1:5">
      <c r="A1" s="85" t="s">
        <v>1223</v>
      </c>
      <c r="B1" s="85"/>
      <c r="C1" s="85"/>
      <c r="D1" s="85"/>
      <c r="E1" s="85"/>
    </row>
    <row r="2" spans="1:5">
      <c r="A2" s="86" t="s">
        <v>1194</v>
      </c>
      <c r="B2" s="86" t="s">
        <v>714</v>
      </c>
      <c r="C2" s="86" t="s">
        <v>1224</v>
      </c>
      <c r="D2" s="86" t="s">
        <v>1225</v>
      </c>
      <c r="E2" s="86" t="s">
        <v>1226</v>
      </c>
    </row>
    <row r="3" spans="1:5">
      <c r="A3" s="86" t="s">
        <v>731</v>
      </c>
      <c r="B3" s="86">
        <f>SUMIF('2026Q1'!P:P,A3,'2026Q1'!AC:AC)</f>
        <v>72</v>
      </c>
      <c r="C3" s="86">
        <v>66</v>
      </c>
      <c r="D3" s="86">
        <f t="shared" ref="D3:D26" si="0">B3-C3</f>
        <v>6</v>
      </c>
      <c r="E3" s="86" t="s">
        <v>720</v>
      </c>
    </row>
    <row r="4" spans="1:5">
      <c r="A4" s="86" t="s">
        <v>1039</v>
      </c>
      <c r="B4" s="86">
        <f>SUMIF('2026Q1'!P:P,A4,'2026Q1'!Z:Z)</f>
        <v>82</v>
      </c>
      <c r="C4" s="86">
        <v>66</v>
      </c>
      <c r="D4" s="86">
        <f t="shared" si="0"/>
        <v>16</v>
      </c>
      <c r="E4" s="86" t="s">
        <v>717</v>
      </c>
    </row>
    <row r="5" spans="1:5">
      <c r="A5" s="86" t="s">
        <v>960</v>
      </c>
      <c r="B5" s="86">
        <f>SUMIF('2026Q1'!P:P,A5,'2026Q1'!Z:Z)</f>
        <v>65</v>
      </c>
      <c r="C5" s="86">
        <v>66</v>
      </c>
      <c r="D5" s="86">
        <f t="shared" si="0"/>
        <v>-1</v>
      </c>
      <c r="E5" s="86" t="s">
        <v>717</v>
      </c>
    </row>
    <row r="6" spans="1:5">
      <c r="A6" s="86" t="s">
        <v>1027</v>
      </c>
      <c r="B6" s="86">
        <f>SUMIF('2026Q1'!P:P,A6,'2026Q1'!Z:Z)</f>
        <v>66</v>
      </c>
      <c r="C6" s="86">
        <v>66</v>
      </c>
      <c r="D6" s="86">
        <f t="shared" si="0"/>
        <v>0</v>
      </c>
      <c r="E6" s="86" t="s">
        <v>717</v>
      </c>
    </row>
    <row r="7" spans="1:5">
      <c r="A7" s="86" t="s">
        <v>917</v>
      </c>
      <c r="B7" s="86">
        <f>SUMIF('2026Q1'!P:P,A7,'2026Q1'!AA:AA)</f>
        <v>66</v>
      </c>
      <c r="C7" s="86">
        <v>66</v>
      </c>
      <c r="D7" s="86">
        <f t="shared" si="0"/>
        <v>0</v>
      </c>
      <c r="E7" s="86" t="s">
        <v>718</v>
      </c>
    </row>
    <row r="8" spans="1:5">
      <c r="A8" s="86" t="s">
        <v>786</v>
      </c>
      <c r="B8" s="86">
        <f>SUMIF('2026Q1'!P:P,A8,'2026Q1'!Z:Z)</f>
        <v>66</v>
      </c>
      <c r="C8" s="86">
        <v>66</v>
      </c>
      <c r="D8" s="86">
        <f t="shared" si="0"/>
        <v>0</v>
      </c>
      <c r="E8" s="86" t="s">
        <v>717</v>
      </c>
    </row>
    <row r="9" spans="1:5">
      <c r="A9" s="86" t="s">
        <v>1022</v>
      </c>
      <c r="B9" s="86">
        <f>SUMIF('2026Q1'!P:P,A9,'2026Q1'!Z:Z)</f>
        <v>66</v>
      </c>
      <c r="C9" s="86">
        <v>66</v>
      </c>
      <c r="D9" s="86">
        <f t="shared" si="0"/>
        <v>0</v>
      </c>
      <c r="E9" s="86" t="s">
        <v>717</v>
      </c>
    </row>
    <row r="10" spans="1:5">
      <c r="A10" s="86" t="s">
        <v>733</v>
      </c>
      <c r="B10" s="86">
        <f>SUMIF('2026Q1'!P:P,A10,'2026Q1'!Z:Z)</f>
        <v>72</v>
      </c>
      <c r="C10" s="86">
        <v>66</v>
      </c>
      <c r="D10" s="86">
        <f t="shared" si="0"/>
        <v>6</v>
      </c>
      <c r="E10" s="86" t="s">
        <v>717</v>
      </c>
    </row>
    <row r="11" spans="1:5">
      <c r="A11" s="86" t="s">
        <v>1075</v>
      </c>
      <c r="B11" s="86">
        <f>SUMIF('2026Q1'!P:P,A11,'2026Q1'!Y:Y)</f>
        <v>37</v>
      </c>
      <c r="C11" s="86">
        <v>66</v>
      </c>
      <c r="D11" s="86">
        <f t="shared" si="0"/>
        <v>-29</v>
      </c>
      <c r="E11" s="86" t="s">
        <v>716</v>
      </c>
    </row>
    <row r="12" spans="1:5">
      <c r="A12" s="86" t="s">
        <v>754</v>
      </c>
      <c r="B12" s="86">
        <f>SUMIF('2026Q1'!P:P,A12,'2026Q1'!Y:Y)</f>
        <v>66</v>
      </c>
      <c r="C12" s="86">
        <v>66</v>
      </c>
      <c r="D12" s="86">
        <f t="shared" si="0"/>
        <v>0</v>
      </c>
      <c r="E12" s="86" t="s">
        <v>716</v>
      </c>
    </row>
    <row r="13" spans="1:5">
      <c r="A13" s="86" t="s">
        <v>799</v>
      </c>
      <c r="B13" s="86">
        <f>SUMIF('2026Q1'!P:P,A13,'2026Q1'!Z:Z)</f>
        <v>66</v>
      </c>
      <c r="C13" s="86">
        <v>66</v>
      </c>
      <c r="D13" s="86">
        <f t="shared" si="0"/>
        <v>0</v>
      </c>
      <c r="E13" s="86" t="s">
        <v>717</v>
      </c>
    </row>
    <row r="14" spans="1:5">
      <c r="A14" s="86" t="s">
        <v>811</v>
      </c>
      <c r="B14" s="86">
        <f>SUMIF('2026Q1'!P:P,A14,'2026Q1'!Z:Z)</f>
        <v>75</v>
      </c>
      <c r="C14" s="86">
        <v>66</v>
      </c>
      <c r="D14" s="86">
        <f t="shared" si="0"/>
        <v>9</v>
      </c>
      <c r="E14" s="86" t="s">
        <v>717</v>
      </c>
    </row>
    <row r="15" spans="1:5">
      <c r="A15" s="86" t="s">
        <v>910</v>
      </c>
      <c r="B15" s="86">
        <f>SUMIF('2026Q1'!P:P,A15,'2026Q1'!AA:AA)</f>
        <v>66</v>
      </c>
      <c r="C15" s="86">
        <v>66</v>
      </c>
      <c r="D15" s="86">
        <f t="shared" si="0"/>
        <v>0</v>
      </c>
      <c r="E15" s="86" t="s">
        <v>718</v>
      </c>
    </row>
    <row r="16" spans="1:5">
      <c r="A16" s="86" t="s">
        <v>873</v>
      </c>
      <c r="B16" s="86">
        <f>SUMIF('2026Q1'!P:P,A16,'2026Q1'!Z:Z)</f>
        <v>68</v>
      </c>
      <c r="C16" s="86">
        <v>66</v>
      </c>
      <c r="D16" s="86">
        <f t="shared" si="0"/>
        <v>2</v>
      </c>
      <c r="E16" s="86" t="s">
        <v>717</v>
      </c>
    </row>
    <row r="17" spans="1:5">
      <c r="A17" s="86" t="s">
        <v>890</v>
      </c>
      <c r="B17" s="86">
        <f>SUMIF('2026Q1'!P:P,A17,'2026Q1'!Z:Z)</f>
        <v>68</v>
      </c>
      <c r="C17" s="86">
        <v>66</v>
      </c>
      <c r="D17" s="86">
        <f t="shared" si="0"/>
        <v>2</v>
      </c>
      <c r="E17" s="86" t="s">
        <v>717</v>
      </c>
    </row>
    <row r="18" spans="1:5">
      <c r="A18" s="86" t="s">
        <v>824</v>
      </c>
      <c r="B18" s="86">
        <f>SUMIF('2026Q1'!P:P,A18,'2026Q1'!Y:Y)</f>
        <v>77</v>
      </c>
      <c r="C18" s="86">
        <v>66</v>
      </c>
      <c r="D18" s="86">
        <f t="shared" si="0"/>
        <v>11</v>
      </c>
      <c r="E18" s="86" t="s">
        <v>716</v>
      </c>
    </row>
    <row r="19" spans="1:5">
      <c r="A19" s="86" t="s">
        <v>940</v>
      </c>
      <c r="B19" s="86">
        <f>SUMIF('2026Q1'!P:P,A19,'2026Q1'!AA:AA)</f>
        <v>66</v>
      </c>
      <c r="C19" s="86">
        <v>66</v>
      </c>
      <c r="D19" s="86">
        <f t="shared" si="0"/>
        <v>0</v>
      </c>
      <c r="E19" s="86" t="s">
        <v>718</v>
      </c>
    </row>
    <row r="20" spans="1:5">
      <c r="A20" s="86" t="s">
        <v>1055</v>
      </c>
      <c r="B20" s="86">
        <f>SUMIF('2026Q1'!P:P,A20,'2026Q1'!Z:Z)</f>
        <v>66</v>
      </c>
      <c r="C20" s="86">
        <v>66</v>
      </c>
      <c r="D20" s="86">
        <f t="shared" si="0"/>
        <v>0</v>
      </c>
      <c r="E20" s="86" t="s">
        <v>717</v>
      </c>
    </row>
    <row r="21" spans="1:5">
      <c r="A21" s="86" t="s">
        <v>851</v>
      </c>
      <c r="B21" s="86">
        <f>SUMIF('2026Q1'!P:P,A21,'2026Q1'!AA:AA)</f>
        <v>66</v>
      </c>
      <c r="C21" s="86">
        <v>66</v>
      </c>
      <c r="D21" s="86">
        <f t="shared" si="0"/>
        <v>0</v>
      </c>
      <c r="E21" s="86" t="s">
        <v>718</v>
      </c>
    </row>
    <row r="22" spans="1:5">
      <c r="A22" s="86" t="s">
        <v>936</v>
      </c>
      <c r="B22" s="86">
        <f>SUMIF('2026Q1'!P:P,A22,'2026Q1'!Z:Z)</f>
        <v>66</v>
      </c>
      <c r="C22" s="86">
        <v>66</v>
      </c>
      <c r="D22" s="86">
        <f t="shared" si="0"/>
        <v>0</v>
      </c>
      <c r="E22" s="86" t="s">
        <v>717</v>
      </c>
    </row>
    <row r="23" spans="1:5">
      <c r="A23" s="86" t="s">
        <v>1033</v>
      </c>
      <c r="B23" s="86">
        <f>SUMIF('2026Q1'!P:P,A23,'2026Q1'!AA:AA)</f>
        <v>72</v>
      </c>
      <c r="C23" s="86">
        <v>66</v>
      </c>
      <c r="D23" s="86">
        <f t="shared" si="0"/>
        <v>6</v>
      </c>
      <c r="E23" s="86" t="s">
        <v>718</v>
      </c>
    </row>
    <row r="24" spans="1:5">
      <c r="A24" s="86" t="s">
        <v>745</v>
      </c>
      <c r="B24" s="86">
        <f>SUMIF('2026Q1'!P:P,A24,'2026Q1'!AA:AA)</f>
        <v>66</v>
      </c>
      <c r="C24" s="86">
        <v>66</v>
      </c>
      <c r="D24" s="86">
        <f t="shared" si="0"/>
        <v>0</v>
      </c>
      <c r="E24" s="86" t="s">
        <v>718</v>
      </c>
    </row>
    <row r="25" spans="1:5">
      <c r="A25" s="86" t="s">
        <v>895</v>
      </c>
      <c r="B25" s="86">
        <f>SUMIF('2026Q1'!P:P,A25,'2026Q1'!AA:AA)</f>
        <v>68</v>
      </c>
      <c r="C25" s="86">
        <v>66</v>
      </c>
      <c r="D25" s="86">
        <f t="shared" si="0"/>
        <v>2</v>
      </c>
      <c r="E25" s="86" t="s">
        <v>718</v>
      </c>
    </row>
  </sheetData>
  <mergeCells count="1">
    <mergeCell ref="A1: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5"/>
  <sheetViews>
    <sheetView zoomScale="85" zoomScaleNormal="85" workbookViewId="0">
      <selection activeCell="D9" sqref="D9"/>
    </sheetView>
  </sheetViews>
  <sheetFormatPr defaultColWidth="9.10833333333333" defaultRowHeight="14.25"/>
  <cols>
    <col min="1" max="1" width="4.50833333333333" style="36" customWidth="1"/>
    <col min="2" max="2" width="24.1333333333333" style="37" customWidth="1"/>
    <col min="3" max="3" width="16.1333333333333" style="36" customWidth="1"/>
    <col min="4" max="4" width="17.75" style="36" customWidth="1"/>
    <col min="5" max="5" width="16.1333333333333" style="36" customWidth="1"/>
    <col min="6" max="6" width="16.8833333333333" style="36" customWidth="1"/>
    <col min="7" max="7" width="18.3833333333333" style="36" customWidth="1"/>
    <col min="8" max="8" width="18.25" style="36" customWidth="1"/>
    <col min="9" max="12" width="18.1333333333333" style="36" customWidth="1"/>
    <col min="13" max="14" width="11" style="36" customWidth="1"/>
    <col min="15" max="17" width="9.10833333333333" style="36"/>
    <col min="18" max="18" width="18.25" style="36" customWidth="1"/>
    <col min="19" max="19" width="9.10833333333333" style="36"/>
    <col min="20" max="20" width="13" style="36" customWidth="1"/>
    <col min="21" max="21" width="11.2416666666667" style="36" customWidth="1"/>
    <col min="22" max="22" width="10" style="36" customWidth="1"/>
    <col min="23" max="23" width="13.75" style="36" customWidth="1"/>
    <col min="24" max="16384" width="9.10833333333333" style="36"/>
  </cols>
  <sheetData>
    <row r="1" s="36" customFormat="1" ht="26" customHeight="1" spans="1:8">
      <c r="A1" s="38" t="s">
        <v>1227</v>
      </c>
      <c r="B1" s="39"/>
      <c r="C1" s="38"/>
      <c r="D1" s="38"/>
      <c r="E1" s="38"/>
      <c r="F1" s="38"/>
      <c r="G1" s="38"/>
      <c r="H1" s="40"/>
    </row>
    <row r="2" s="36" customFormat="1" ht="17" customHeight="1" spans="2:8">
      <c r="B2" s="37"/>
      <c r="G2" s="41" t="s">
        <v>1228</v>
      </c>
      <c r="H2" s="41"/>
    </row>
    <row r="3" s="36" customFormat="1" ht="27" customHeight="1" spans="1:23">
      <c r="A3" s="42" t="s">
        <v>1229</v>
      </c>
      <c r="B3" s="43" t="s">
        <v>1230</v>
      </c>
      <c r="C3" s="44" t="s">
        <v>1231</v>
      </c>
      <c r="D3" s="45"/>
      <c r="E3" s="43" t="s">
        <v>1232</v>
      </c>
      <c r="F3" s="43"/>
      <c r="G3" s="42" t="s">
        <v>1233</v>
      </c>
      <c r="H3" s="42"/>
      <c r="I3" s="78"/>
      <c r="J3" s="78"/>
      <c r="K3" s="78"/>
      <c r="L3" s="78"/>
      <c r="M3" s="78"/>
      <c r="N3" s="78"/>
      <c r="O3" s="78"/>
      <c r="P3" s="78"/>
      <c r="Q3" s="78"/>
      <c r="R3" s="78"/>
      <c r="S3" s="78"/>
      <c r="T3" s="78"/>
      <c r="U3" s="78"/>
      <c r="V3" s="78"/>
      <c r="W3" s="78"/>
    </row>
    <row r="4" s="36" customFormat="1" ht="21" customHeight="1" spans="1:24">
      <c r="A4" s="42"/>
      <c r="B4" s="43"/>
      <c r="C4" s="46" t="s">
        <v>1234</v>
      </c>
      <c r="D4" s="42" t="s">
        <v>1235</v>
      </c>
      <c r="E4" s="42" t="s">
        <v>1234</v>
      </c>
      <c r="F4" s="42" t="s">
        <v>1235</v>
      </c>
      <c r="G4" s="42"/>
      <c r="H4" s="42"/>
      <c r="I4" s="79"/>
      <c r="J4" s="79"/>
      <c r="K4" s="79"/>
      <c r="L4" s="78"/>
      <c r="M4" s="78"/>
      <c r="N4" s="78"/>
      <c r="O4" s="78"/>
      <c r="P4" s="78"/>
      <c r="Q4" s="78"/>
      <c r="R4" s="78"/>
      <c r="S4" s="78"/>
      <c r="T4" s="78"/>
      <c r="U4" s="78"/>
      <c r="V4" s="78"/>
      <c r="W4" s="78"/>
      <c r="X4" s="84"/>
    </row>
    <row r="5" s="36" customFormat="1" ht="22" customHeight="1" spans="1:24">
      <c r="A5" s="47">
        <v>1</v>
      </c>
      <c r="B5" s="48" t="s">
        <v>1236</v>
      </c>
      <c r="C5" s="49">
        <v>330</v>
      </c>
      <c r="D5" s="47">
        <v>7000</v>
      </c>
      <c r="E5" s="47"/>
      <c r="F5" s="47"/>
      <c r="G5" s="50" t="s">
        <v>1237</v>
      </c>
      <c r="H5" s="51"/>
      <c r="I5" s="79"/>
      <c r="J5" s="79"/>
      <c r="K5" s="79"/>
      <c r="L5" s="78"/>
      <c r="M5" s="78"/>
      <c r="N5" s="78"/>
      <c r="O5" s="78"/>
      <c r="P5" s="78"/>
      <c r="Q5" s="78"/>
      <c r="R5" s="78"/>
      <c r="S5" s="78"/>
      <c r="T5" s="78"/>
      <c r="U5" s="78"/>
      <c r="V5" s="78"/>
      <c r="W5" s="78"/>
      <c r="X5" s="84"/>
    </row>
    <row r="6" s="36" customFormat="1" ht="22" customHeight="1" spans="1:24">
      <c r="A6" s="47">
        <v>2</v>
      </c>
      <c r="B6" s="52" t="s">
        <v>717</v>
      </c>
      <c r="C6" s="53">
        <v>650</v>
      </c>
      <c r="D6" s="54">
        <v>14000</v>
      </c>
      <c r="E6" s="54"/>
      <c r="F6" s="54"/>
      <c r="G6" s="55"/>
      <c r="H6" s="56"/>
      <c r="I6" s="80"/>
      <c r="J6" s="80"/>
      <c r="K6" s="80"/>
      <c r="L6" s="80"/>
      <c r="M6" s="80"/>
      <c r="N6" s="80"/>
      <c r="O6" s="80"/>
      <c r="P6" s="80"/>
      <c r="Q6" s="80"/>
      <c r="R6" s="80"/>
      <c r="S6" s="80"/>
      <c r="T6" s="80"/>
      <c r="U6" s="80"/>
      <c r="V6" s="80"/>
      <c r="W6" s="80"/>
      <c r="X6" s="84"/>
    </row>
    <row r="7" s="36" customFormat="1" ht="22" customHeight="1" spans="1:24">
      <c r="A7" s="47">
        <v>3</v>
      </c>
      <c r="B7" s="52" t="s">
        <v>718</v>
      </c>
      <c r="C7" s="53">
        <v>1000</v>
      </c>
      <c r="D7" s="54">
        <v>22000</v>
      </c>
      <c r="E7" s="54"/>
      <c r="F7" s="54"/>
      <c r="G7" s="55"/>
      <c r="H7" s="56"/>
      <c r="I7" s="80"/>
      <c r="J7" s="80"/>
      <c r="K7" s="80"/>
      <c r="L7" s="80"/>
      <c r="M7" s="80"/>
      <c r="N7" s="80"/>
      <c r="O7" s="80"/>
      <c r="P7" s="80"/>
      <c r="Q7" s="80"/>
      <c r="R7" s="80"/>
      <c r="S7" s="80"/>
      <c r="T7" s="80"/>
      <c r="U7" s="80"/>
      <c r="V7" s="80"/>
      <c r="W7" s="80"/>
      <c r="X7" s="84"/>
    </row>
    <row r="8" s="36" customFormat="1" ht="22" customHeight="1" spans="1:24">
      <c r="A8" s="47">
        <v>4</v>
      </c>
      <c r="B8" s="52" t="s">
        <v>719</v>
      </c>
      <c r="C8" s="53">
        <v>1350</v>
      </c>
      <c r="D8" s="54">
        <v>29000</v>
      </c>
      <c r="E8" s="54"/>
      <c r="F8" s="54"/>
      <c r="G8" s="55"/>
      <c r="H8" s="56"/>
      <c r="I8" s="80"/>
      <c r="J8" s="80"/>
      <c r="K8" s="80"/>
      <c r="L8" s="80"/>
      <c r="M8" s="80"/>
      <c r="N8" s="80"/>
      <c r="O8" s="80"/>
      <c r="P8" s="80"/>
      <c r="Q8" s="80"/>
      <c r="R8" s="80"/>
      <c r="S8" s="80"/>
      <c r="T8" s="80"/>
      <c r="U8" s="80"/>
      <c r="V8" s="80"/>
      <c r="W8" s="80"/>
      <c r="X8" s="84"/>
    </row>
    <row r="9" s="36" customFormat="1" ht="22" customHeight="1" spans="1:24">
      <c r="A9" s="47">
        <v>5</v>
      </c>
      <c r="B9" s="52" t="s">
        <v>720</v>
      </c>
      <c r="C9" s="53">
        <v>1700</v>
      </c>
      <c r="D9" s="54">
        <v>37000</v>
      </c>
      <c r="E9" s="54"/>
      <c r="F9" s="54"/>
      <c r="G9" s="55"/>
      <c r="H9" s="56"/>
      <c r="I9" s="80"/>
      <c r="J9" s="80"/>
      <c r="K9" s="80"/>
      <c r="L9" s="80"/>
      <c r="M9" s="80"/>
      <c r="N9" s="80"/>
      <c r="O9" s="80"/>
      <c r="P9" s="80"/>
      <c r="Q9" s="80"/>
      <c r="R9" s="80"/>
      <c r="S9" s="80"/>
      <c r="T9" s="80"/>
      <c r="U9" s="80"/>
      <c r="V9" s="80"/>
      <c r="W9" s="80"/>
      <c r="X9" s="84"/>
    </row>
    <row r="10" s="36" customFormat="1" ht="22" customHeight="1" spans="1:24">
      <c r="A10" s="47">
        <v>6</v>
      </c>
      <c r="B10" s="52" t="s">
        <v>721</v>
      </c>
      <c r="C10" s="53">
        <v>2100</v>
      </c>
      <c r="D10" s="54">
        <v>45000</v>
      </c>
      <c r="E10" s="54"/>
      <c r="F10" s="54"/>
      <c r="G10" s="55"/>
      <c r="H10" s="56"/>
      <c r="I10" s="80"/>
      <c r="J10" s="80"/>
      <c r="K10" s="80"/>
      <c r="L10" s="80"/>
      <c r="M10" s="80"/>
      <c r="N10" s="80"/>
      <c r="O10" s="80"/>
      <c r="P10" s="80"/>
      <c r="Q10" s="80"/>
      <c r="R10" s="80"/>
      <c r="S10" s="80"/>
      <c r="T10" s="80"/>
      <c r="U10" s="80"/>
      <c r="V10" s="80"/>
      <c r="W10" s="80"/>
      <c r="X10" s="84"/>
    </row>
    <row r="11" s="36" customFormat="1" ht="22" customHeight="1" spans="1:24">
      <c r="A11" s="47">
        <v>7</v>
      </c>
      <c r="B11" s="52" t="s">
        <v>1238</v>
      </c>
      <c r="C11" s="53">
        <v>2500</v>
      </c>
      <c r="D11" s="54">
        <v>55000</v>
      </c>
      <c r="E11" s="54"/>
      <c r="F11" s="54"/>
      <c r="G11" s="55"/>
      <c r="H11" s="56"/>
      <c r="I11" s="80"/>
      <c r="J11" s="80"/>
      <c r="K11" s="80"/>
      <c r="L11" s="80"/>
      <c r="M11" s="80"/>
      <c r="N11" s="80"/>
      <c r="O11" s="80"/>
      <c r="P11" s="80"/>
      <c r="Q11" s="80"/>
      <c r="R11" s="80"/>
      <c r="S11" s="80"/>
      <c r="T11" s="80"/>
      <c r="U11" s="80"/>
      <c r="V11" s="80"/>
      <c r="W11" s="80"/>
      <c r="X11" s="84"/>
    </row>
    <row r="12" s="36" customFormat="1" ht="22" customHeight="1" spans="1:24">
      <c r="A12" s="47">
        <v>8</v>
      </c>
      <c r="B12" s="52" t="s">
        <v>1239</v>
      </c>
      <c r="C12" s="53">
        <v>3000</v>
      </c>
      <c r="D12" s="54">
        <v>65000</v>
      </c>
      <c r="E12" s="54"/>
      <c r="F12" s="54"/>
      <c r="G12" s="57"/>
      <c r="H12" s="58"/>
      <c r="I12" s="80"/>
      <c r="J12" s="80"/>
      <c r="K12" s="80"/>
      <c r="L12" s="80"/>
      <c r="M12" s="80"/>
      <c r="N12" s="80"/>
      <c r="O12" s="80"/>
      <c r="P12" s="80"/>
      <c r="Q12" s="80"/>
      <c r="R12" s="80"/>
      <c r="S12" s="80"/>
      <c r="T12" s="80"/>
      <c r="U12" s="80"/>
      <c r="V12" s="80"/>
      <c r="W12" s="80"/>
      <c r="X12" s="84"/>
    </row>
    <row r="13" s="36" customFormat="1" ht="39" customHeight="1" spans="1:14">
      <c r="A13" s="38"/>
      <c r="B13" s="59"/>
      <c r="C13" s="38"/>
      <c r="D13" s="38"/>
      <c r="E13" s="38"/>
      <c r="F13" s="38"/>
      <c r="G13" s="38"/>
      <c r="H13" s="38"/>
      <c r="I13" s="81"/>
      <c r="J13" s="81"/>
      <c r="K13" s="81"/>
      <c r="L13" s="81" t="s">
        <v>1240</v>
      </c>
      <c r="M13" s="81"/>
      <c r="N13" s="81"/>
    </row>
    <row r="14" s="36" customFormat="1" ht="40" customHeight="1" spans="1:12">
      <c r="A14" s="60" t="s">
        <v>1229</v>
      </c>
      <c r="B14" s="61" t="s">
        <v>1241</v>
      </c>
      <c r="C14" s="60" t="s">
        <v>1242</v>
      </c>
      <c r="D14" s="60" t="s">
        <v>1243</v>
      </c>
      <c r="E14" s="60" t="s">
        <v>1244</v>
      </c>
      <c r="F14" s="60" t="s">
        <v>1245</v>
      </c>
      <c r="G14" s="60" t="s">
        <v>1246</v>
      </c>
      <c r="H14" s="60" t="s">
        <v>1247</v>
      </c>
      <c r="I14" s="60" t="s">
        <v>1248</v>
      </c>
      <c r="J14" s="60" t="s">
        <v>1249</v>
      </c>
      <c r="K14" s="60" t="s">
        <v>1250</v>
      </c>
      <c r="L14" s="61" t="s">
        <v>1251</v>
      </c>
    </row>
    <row r="15" s="36" customFormat="1" ht="30" customHeight="1" spans="1:12">
      <c r="A15" s="62">
        <v>1</v>
      </c>
      <c r="B15" s="52" t="s">
        <v>1252</v>
      </c>
      <c r="C15" s="53"/>
      <c r="D15" s="63">
        <v>58</v>
      </c>
      <c r="E15" s="63">
        <v>159</v>
      </c>
      <c r="F15" s="63">
        <v>0</v>
      </c>
      <c r="G15" s="64">
        <v>0</v>
      </c>
      <c r="H15" s="65"/>
      <c r="I15" s="65"/>
      <c r="J15" s="65"/>
      <c r="K15" s="65"/>
      <c r="L15" s="82">
        <f>(D15*C6+E15*C7+F15*$C$8+G15*$C$9+H15*$C$10+I15*$C$11+J15*$C$12)/10000</f>
        <v>19.67</v>
      </c>
    </row>
    <row r="16" s="36" customFormat="1" ht="30" customHeight="1" spans="1:12">
      <c r="A16" s="54">
        <v>2</v>
      </c>
      <c r="B16" s="52" t="s">
        <v>1253</v>
      </c>
      <c r="C16" s="53"/>
      <c r="D16" s="66">
        <v>0</v>
      </c>
      <c r="E16" s="66">
        <v>66</v>
      </c>
      <c r="F16" s="66">
        <v>0</v>
      </c>
      <c r="G16" s="65"/>
      <c r="H16" s="65"/>
      <c r="I16" s="65"/>
      <c r="J16" s="65"/>
      <c r="K16" s="65"/>
      <c r="L16" s="82">
        <f>(D16*$C$6+E16*$C$7+F16*$C$8+G16*$C$9+H16*$C$10+I16*$C$11+J16*$C$12)/10000</f>
        <v>6.6</v>
      </c>
    </row>
    <row r="17" s="36" customFormat="1" ht="22" customHeight="1" spans="1:12">
      <c r="A17" s="67"/>
      <c r="B17" s="68" t="s">
        <v>1254</v>
      </c>
      <c r="C17" s="69">
        <f t="shared" ref="C17:L17" si="0">SUM(C15:C16)</f>
        <v>0</v>
      </c>
      <c r="D17" s="69">
        <f t="shared" si="0"/>
        <v>58</v>
      </c>
      <c r="E17" s="69">
        <f t="shared" si="0"/>
        <v>225</v>
      </c>
      <c r="F17" s="69">
        <v>0</v>
      </c>
      <c r="G17" s="69">
        <f t="shared" si="0"/>
        <v>0</v>
      </c>
      <c r="H17" s="69">
        <f t="shared" si="0"/>
        <v>0</v>
      </c>
      <c r="I17" s="69">
        <f t="shared" si="0"/>
        <v>0</v>
      </c>
      <c r="J17" s="69">
        <f t="shared" si="0"/>
        <v>0</v>
      </c>
      <c r="K17" s="83">
        <f t="shared" si="0"/>
        <v>0</v>
      </c>
      <c r="L17" s="83">
        <f t="shared" si="0"/>
        <v>26.27</v>
      </c>
    </row>
    <row r="18" s="36" customFormat="1" spans="1:12">
      <c r="A18" s="70" t="s">
        <v>1255</v>
      </c>
      <c r="B18" s="71"/>
      <c r="C18" s="70"/>
      <c r="D18" s="70"/>
      <c r="E18" s="70"/>
      <c r="F18" s="70"/>
      <c r="G18" s="70"/>
      <c r="H18" s="70"/>
      <c r="I18" s="70"/>
      <c r="J18" s="70"/>
      <c r="K18" s="70"/>
      <c r="L18" s="70"/>
    </row>
    <row r="19" s="36" customFormat="1" spans="1:12">
      <c r="A19" s="72" t="s">
        <v>1256</v>
      </c>
      <c r="B19" s="73"/>
      <c r="C19" s="72"/>
      <c r="D19" s="72"/>
      <c r="E19" s="72"/>
      <c r="F19" s="72"/>
      <c r="G19" s="72"/>
      <c r="H19" s="72"/>
      <c r="I19" s="72"/>
      <c r="J19" s="72"/>
      <c r="K19" s="72"/>
      <c r="L19" s="72"/>
    </row>
    <row r="20" s="36" customFormat="1" spans="1:12">
      <c r="A20" s="72" t="s">
        <v>1257</v>
      </c>
      <c r="B20" s="73"/>
      <c r="C20" s="72"/>
      <c r="D20" s="72"/>
      <c r="E20" s="72"/>
      <c r="F20" s="72"/>
      <c r="G20" s="72"/>
      <c r="H20" s="72"/>
      <c r="I20" s="72"/>
      <c r="J20" s="72"/>
      <c r="K20" s="72"/>
      <c r="L20" s="72"/>
    </row>
    <row r="21" s="36" customFormat="1" spans="1:2">
      <c r="A21" s="74"/>
      <c r="B21" s="75"/>
    </row>
    <row r="22" s="36" customFormat="1" spans="1:2">
      <c r="A22" s="74"/>
      <c r="B22" s="76"/>
    </row>
    <row r="23" s="36" customFormat="1" spans="1:2">
      <c r="A23" s="74"/>
      <c r="B23" s="76"/>
    </row>
    <row r="24" s="36" customFormat="1" spans="1:2">
      <c r="A24" s="74"/>
      <c r="B24" s="76"/>
    </row>
    <row r="25" s="36" customFormat="1" spans="1:4">
      <c r="A25" s="74"/>
      <c r="B25" s="76"/>
      <c r="C25" s="77" t="s">
        <v>1258</v>
      </c>
      <c r="D25" s="36" t="s">
        <v>717</v>
      </c>
    </row>
    <row r="26" s="36" customFormat="1" spans="1:4">
      <c r="A26" s="74"/>
      <c r="B26" s="76"/>
      <c r="C26" s="77" t="s">
        <v>1259</v>
      </c>
      <c r="D26" s="36" t="s">
        <v>718</v>
      </c>
    </row>
    <row r="27" s="36" customFormat="1" spans="1:4">
      <c r="A27" s="74"/>
      <c r="B27" s="76"/>
      <c r="C27" s="77" t="s">
        <v>1260</v>
      </c>
      <c r="D27" s="36" t="s">
        <v>718</v>
      </c>
    </row>
    <row r="28" s="36" customFormat="1" spans="1:4">
      <c r="A28" s="74"/>
      <c r="B28" s="76"/>
      <c r="C28" s="77" t="s">
        <v>680</v>
      </c>
      <c r="D28" s="36" t="s">
        <v>718</v>
      </c>
    </row>
    <row r="29" s="36" customFormat="1" spans="1:4">
      <c r="A29" s="74"/>
      <c r="B29" s="76"/>
      <c r="C29" s="77" t="s">
        <v>1261</v>
      </c>
      <c r="D29" s="36" t="s">
        <v>717</v>
      </c>
    </row>
    <row r="30" s="36" customFormat="1" spans="1:2">
      <c r="A30" s="74"/>
      <c r="B30" s="76"/>
    </row>
    <row r="31" s="36" customFormat="1" spans="1:2">
      <c r="A31" s="74"/>
      <c r="B31" s="76"/>
    </row>
    <row r="32" s="36" customFormat="1" spans="1:2">
      <c r="A32" s="74"/>
      <c r="B32" s="76"/>
    </row>
    <row r="33" s="36" customFormat="1" spans="1:2">
      <c r="A33" s="74"/>
      <c r="B33" s="76"/>
    </row>
    <row r="34" s="36" customFormat="1" spans="1:2">
      <c r="A34" s="74"/>
      <c r="B34" s="76"/>
    </row>
    <row r="35" s="36" customFormat="1" spans="1:2">
      <c r="A35" s="74"/>
      <c r="B35" s="76"/>
    </row>
  </sheetData>
  <mergeCells count="12">
    <mergeCell ref="A1:G1"/>
    <mergeCell ref="G2:H2"/>
    <mergeCell ref="C3:D3"/>
    <mergeCell ref="E3:F3"/>
    <mergeCell ref="I3:W3"/>
    <mergeCell ref="A18:L18"/>
    <mergeCell ref="A19:L19"/>
    <mergeCell ref="A20:L20"/>
    <mergeCell ref="A3:A4"/>
    <mergeCell ref="B3:B4"/>
    <mergeCell ref="G3:H4"/>
    <mergeCell ref="G5:H1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topLeftCell="A18" workbookViewId="0">
      <selection activeCell="D9" sqref="D9"/>
    </sheetView>
  </sheetViews>
  <sheetFormatPr defaultColWidth="9" defaultRowHeight="14.25"/>
  <cols>
    <col min="1" max="1" width="12.1333333333333" style="15" customWidth="1"/>
    <col min="2" max="2" width="29" style="15" customWidth="1"/>
    <col min="3" max="3" width="18.6333333333333" style="15" customWidth="1"/>
    <col min="4" max="4" width="19.25" style="15" customWidth="1"/>
    <col min="5" max="5" width="113.133333333333" style="15" customWidth="1"/>
    <col min="6" max="16384" width="9" style="15"/>
  </cols>
  <sheetData>
    <row r="1" s="15" customFormat="1" ht="18" customHeight="1" spans="1:5">
      <c r="A1" s="16" t="s">
        <v>1262</v>
      </c>
      <c r="B1" s="16"/>
      <c r="C1" s="16"/>
      <c r="D1" s="16"/>
      <c r="E1" s="16"/>
    </row>
    <row r="2" s="15" customFormat="1" ht="18" customHeight="1" spans="5:5">
      <c r="E2" s="17" t="s">
        <v>1240</v>
      </c>
    </row>
    <row r="3" s="15" customFormat="1" ht="16" customHeight="1" spans="1:5">
      <c r="A3" s="18" t="s">
        <v>1263</v>
      </c>
      <c r="B3" s="19" t="s">
        <v>1264</v>
      </c>
      <c r="C3" s="19"/>
      <c r="D3" s="19"/>
      <c r="E3" s="19"/>
    </row>
    <row r="4" s="15" customFormat="1" ht="16" customHeight="1" spans="1:5">
      <c r="A4" s="18" t="s">
        <v>1265</v>
      </c>
      <c r="B4" s="19" t="s">
        <v>1266</v>
      </c>
      <c r="C4" s="19"/>
      <c r="D4" s="20" t="s">
        <v>1267</v>
      </c>
      <c r="E4" s="21"/>
    </row>
    <row r="5" s="15" customFormat="1" ht="16" customHeight="1" spans="1:5">
      <c r="A5" s="18" t="s">
        <v>1268</v>
      </c>
      <c r="B5" s="19"/>
      <c r="C5" s="19"/>
      <c r="D5" s="21"/>
      <c r="E5" s="21"/>
    </row>
    <row r="6" s="15" customFormat="1" ht="16" customHeight="1" spans="1:5">
      <c r="A6" s="18" t="s">
        <v>1269</v>
      </c>
      <c r="B6" s="18" t="s">
        <v>1270</v>
      </c>
      <c r="C6" s="19" t="s">
        <v>1271</v>
      </c>
      <c r="D6" s="19" t="s">
        <v>1272</v>
      </c>
      <c r="E6" s="20" t="s">
        <v>1273</v>
      </c>
    </row>
    <row r="7" s="15" customFormat="1" ht="16" customHeight="1" spans="1:5">
      <c r="A7" s="20" t="s">
        <v>1274</v>
      </c>
      <c r="B7" s="22" t="s">
        <v>1275</v>
      </c>
      <c r="C7" s="21">
        <f>'[2]项目人工费工时定额 '!L17</f>
        <v>26.27</v>
      </c>
      <c r="D7" s="21"/>
      <c r="E7" s="23" t="s">
        <v>1276</v>
      </c>
    </row>
    <row r="8" s="15" customFormat="1" ht="16" customHeight="1" spans="1:5">
      <c r="A8" s="20"/>
      <c r="B8" s="22" t="s">
        <v>1277</v>
      </c>
      <c r="C8" s="21">
        <f>[1]项目人工测算表!K17</f>
        <v>0</v>
      </c>
      <c r="D8" s="21"/>
      <c r="E8" s="23" t="s">
        <v>1278</v>
      </c>
    </row>
    <row r="9" s="15" customFormat="1" ht="16" customHeight="1" spans="1:5">
      <c r="A9" s="20"/>
      <c r="B9" s="20" t="s">
        <v>1279</v>
      </c>
      <c r="C9" s="21">
        <f>SUM(C7:C8)</f>
        <v>26.27</v>
      </c>
      <c r="D9" s="21"/>
      <c r="E9" s="23"/>
    </row>
    <row r="10" s="15" customFormat="1" ht="16" customHeight="1" spans="1:5">
      <c r="A10" s="20" t="s">
        <v>1280</v>
      </c>
      <c r="B10" s="21" t="s">
        <v>1281</v>
      </c>
      <c r="C10" s="21">
        <v>0</v>
      </c>
      <c r="D10" s="21"/>
      <c r="E10" s="24" t="s">
        <v>1282</v>
      </c>
    </row>
    <row r="11" s="15" customFormat="1" ht="16" customHeight="1" spans="1:5">
      <c r="A11" s="20"/>
      <c r="B11" s="21" t="s">
        <v>1283</v>
      </c>
      <c r="C11" s="21">
        <v>0</v>
      </c>
      <c r="D11" s="21"/>
      <c r="E11" s="24" t="s">
        <v>1284</v>
      </c>
    </row>
    <row r="12" s="15" customFormat="1" ht="16" customHeight="1" spans="1:5">
      <c r="A12" s="20"/>
      <c r="B12" s="21" t="s">
        <v>1285</v>
      </c>
      <c r="C12" s="21">
        <v>0</v>
      </c>
      <c r="D12" s="21"/>
      <c r="E12" s="24" t="s">
        <v>1286</v>
      </c>
    </row>
    <row r="13" s="15" customFormat="1" ht="16" customHeight="1" spans="1:5">
      <c r="A13" s="20"/>
      <c r="B13" s="21" t="s">
        <v>1287</v>
      </c>
      <c r="C13" s="21">
        <v>0</v>
      </c>
      <c r="D13" s="21"/>
      <c r="E13" s="24" t="s">
        <v>1288</v>
      </c>
    </row>
    <row r="14" s="15" customFormat="1" ht="16" customHeight="1" spans="1:5">
      <c r="A14" s="20"/>
      <c r="B14" s="21" t="s">
        <v>1289</v>
      </c>
      <c r="C14" s="21">
        <v>0</v>
      </c>
      <c r="D14" s="21"/>
      <c r="E14" s="24" t="s">
        <v>1290</v>
      </c>
    </row>
    <row r="15" s="15" customFormat="1" ht="16" customHeight="1" spans="1:9">
      <c r="A15" s="20"/>
      <c r="B15" s="25" t="s">
        <v>1291</v>
      </c>
      <c r="C15" s="25"/>
      <c r="D15" s="25"/>
      <c r="E15" s="23" t="s">
        <v>1292</v>
      </c>
      <c r="F15" s="26"/>
      <c r="G15" s="26"/>
      <c r="H15" s="26"/>
      <c r="I15" s="26"/>
    </row>
    <row r="16" s="15" customFormat="1" ht="16" customHeight="1" spans="1:5">
      <c r="A16" s="20"/>
      <c r="B16" s="21" t="s">
        <v>1293</v>
      </c>
      <c r="C16" s="21">
        <v>0</v>
      </c>
      <c r="D16" s="21"/>
      <c r="E16" s="24" t="s">
        <v>1294</v>
      </c>
    </row>
    <row r="17" s="15" customFormat="1" ht="16" customHeight="1" spans="1:5">
      <c r="A17" s="20"/>
      <c r="B17" s="21" t="s">
        <v>1295</v>
      </c>
      <c r="C17" s="21">
        <v>3</v>
      </c>
      <c r="D17" s="21"/>
      <c r="E17" s="24" t="s">
        <v>1296</v>
      </c>
    </row>
    <row r="18" s="15" customFormat="1" ht="16" customHeight="1" spans="1:5">
      <c r="A18" s="20"/>
      <c r="B18" s="21" t="s">
        <v>1297</v>
      </c>
      <c r="C18" s="21">
        <v>0.5</v>
      </c>
      <c r="D18" s="21"/>
      <c r="E18" s="24" t="s">
        <v>1298</v>
      </c>
    </row>
    <row r="19" s="15" customFormat="1" ht="16" customHeight="1" spans="1:5">
      <c r="A19" s="20"/>
      <c r="B19" s="21" t="s">
        <v>1299</v>
      </c>
      <c r="C19" s="21">
        <v>0</v>
      </c>
      <c r="D19" s="21"/>
      <c r="E19" s="24" t="s">
        <v>1300</v>
      </c>
    </row>
    <row r="20" s="15" customFormat="1" ht="16" customHeight="1" spans="1:5">
      <c r="A20" s="20"/>
      <c r="B20" s="21" t="s">
        <v>1301</v>
      </c>
      <c r="C20" s="21">
        <v>0</v>
      </c>
      <c r="D20" s="21"/>
      <c r="E20" s="24"/>
    </row>
    <row r="21" s="15" customFormat="1" ht="16" customHeight="1" spans="1:5">
      <c r="A21" s="20"/>
      <c r="B21" s="20" t="s">
        <v>1279</v>
      </c>
      <c r="C21" s="21">
        <f>SUM(C10:C20)</f>
        <v>3.5</v>
      </c>
      <c r="D21" s="21"/>
      <c r="E21" s="24"/>
    </row>
    <row r="22" s="15" customFormat="1" ht="16" customHeight="1" spans="1:5">
      <c r="A22" s="20" t="s">
        <v>1302</v>
      </c>
      <c r="B22" s="21" t="s">
        <v>1303</v>
      </c>
      <c r="C22" s="20"/>
      <c r="D22" s="20"/>
      <c r="E22" s="27"/>
    </row>
    <row r="23" s="15" customFormat="1" ht="16" customHeight="1" spans="1:5">
      <c r="A23" s="20" t="s">
        <v>1304</v>
      </c>
      <c r="B23" s="21" t="s">
        <v>1305</v>
      </c>
      <c r="C23" s="21"/>
      <c r="D23" s="21"/>
      <c r="E23" s="24" t="s">
        <v>1306</v>
      </c>
    </row>
    <row r="24" s="15" customFormat="1" ht="16" customHeight="1" spans="1:5">
      <c r="A24" s="20"/>
      <c r="B24" s="21" t="s">
        <v>1307</v>
      </c>
      <c r="C24" s="21"/>
      <c r="D24" s="21"/>
      <c r="E24" s="24" t="s">
        <v>1306</v>
      </c>
    </row>
    <row r="25" s="15" customFormat="1" ht="16" customHeight="1" spans="1:5">
      <c r="A25" s="20"/>
      <c r="B25" s="28" t="s">
        <v>1308</v>
      </c>
      <c r="C25" s="21"/>
      <c r="D25" s="21"/>
      <c r="E25" s="24" t="s">
        <v>1309</v>
      </c>
    </row>
    <row r="26" s="15" customFormat="1" ht="16" customHeight="1" spans="1:5">
      <c r="A26" s="20"/>
      <c r="B26" s="20" t="s">
        <v>1279</v>
      </c>
      <c r="C26" s="21"/>
      <c r="D26" s="21"/>
      <c r="E26" s="21"/>
    </row>
    <row r="27" s="15" customFormat="1" ht="16" customHeight="1" spans="1:5">
      <c r="A27" s="18" t="s">
        <v>1310</v>
      </c>
      <c r="B27" s="18"/>
      <c r="C27" s="21">
        <f>C21+C9</f>
        <v>29.77</v>
      </c>
      <c r="D27" s="21"/>
      <c r="E27" s="21"/>
    </row>
    <row r="28" s="15" customFormat="1" ht="16" customHeight="1" spans="1:5">
      <c r="A28" s="18" t="s">
        <v>1311</v>
      </c>
      <c r="B28" s="18"/>
      <c r="C28" s="21"/>
      <c r="D28" s="21"/>
      <c r="E28" s="21"/>
    </row>
    <row r="29" s="15" customFormat="1" ht="16" customHeight="1" spans="1:5">
      <c r="A29" s="18" t="s">
        <v>1312</v>
      </c>
      <c r="B29" s="18"/>
      <c r="C29" s="21"/>
      <c r="D29" s="21"/>
      <c r="E29" s="21"/>
    </row>
    <row r="30" s="15" customFormat="1" ht="16" customHeight="1" spans="1:5">
      <c r="A30" s="29" t="s">
        <v>1313</v>
      </c>
      <c r="B30" s="29"/>
      <c r="C30" s="30" t="s">
        <v>1314</v>
      </c>
      <c r="D30" s="29" t="s">
        <v>1315</v>
      </c>
      <c r="E30" s="31"/>
    </row>
    <row r="31" s="15" customFormat="1" ht="16" customHeight="1" spans="1:5">
      <c r="A31" s="29"/>
      <c r="B31" s="29"/>
      <c r="C31" s="30"/>
      <c r="D31" s="29"/>
      <c r="E31" s="31"/>
    </row>
    <row r="32" s="15" customFormat="1" ht="16" customHeight="1" spans="1:5">
      <c r="A32" s="29"/>
      <c r="B32" s="29"/>
      <c r="C32" s="30"/>
      <c r="D32" s="29"/>
      <c r="E32" s="31"/>
    </row>
    <row r="33" s="15" customFormat="1" ht="36" customHeight="1" spans="1:5">
      <c r="A33" s="29"/>
      <c r="B33" s="29"/>
      <c r="C33" s="30"/>
      <c r="D33" s="29"/>
      <c r="E33" s="31"/>
    </row>
    <row r="34" s="15" customFormat="1" ht="15" customHeight="1" spans="1:5">
      <c r="A34" s="32" t="s">
        <v>1255</v>
      </c>
      <c r="B34" s="32"/>
      <c r="C34" s="33"/>
      <c r="D34" s="32"/>
      <c r="E34" s="34"/>
    </row>
    <row r="35" s="15" customFormat="1" ht="16" customHeight="1" spans="1:5">
      <c r="A35" s="35" t="s">
        <v>1316</v>
      </c>
      <c r="B35" s="35"/>
      <c r="C35" s="35"/>
      <c r="D35" s="35"/>
      <c r="E35" s="35"/>
    </row>
    <row r="36" s="15" customFormat="1" spans="1:5">
      <c r="A36" s="35" t="s">
        <v>1317</v>
      </c>
      <c r="B36" s="35"/>
      <c r="C36" s="35"/>
      <c r="D36" s="35"/>
      <c r="E36" s="35"/>
    </row>
    <row r="37" s="15" customFormat="1" spans="1:5">
      <c r="A37" s="35" t="s">
        <v>1318</v>
      </c>
      <c r="B37" s="35"/>
      <c r="C37" s="35"/>
      <c r="D37" s="35"/>
      <c r="E37" s="35"/>
    </row>
    <row r="38" s="15" customFormat="1" spans="1:5">
      <c r="A38" s="35" t="s">
        <v>1319</v>
      </c>
      <c r="B38" s="35"/>
      <c r="C38" s="35"/>
      <c r="D38" s="35"/>
      <c r="E38" s="35"/>
    </row>
    <row r="39" s="15" customFormat="1" spans="1:5">
      <c r="A39" s="35" t="s">
        <v>1320</v>
      </c>
      <c r="B39" s="35"/>
      <c r="C39" s="35"/>
      <c r="D39" s="35"/>
      <c r="E39" s="35"/>
    </row>
  </sheetData>
  <mergeCells count="19">
    <mergeCell ref="A1:E1"/>
    <mergeCell ref="B3:E3"/>
    <mergeCell ref="B4:C4"/>
    <mergeCell ref="B5:C5"/>
    <mergeCell ref="A27:B27"/>
    <mergeCell ref="A28:B28"/>
    <mergeCell ref="A29:B29"/>
    <mergeCell ref="A35:E35"/>
    <mergeCell ref="A36:E36"/>
    <mergeCell ref="A37:E37"/>
    <mergeCell ref="A38:E38"/>
    <mergeCell ref="A39:E39"/>
    <mergeCell ref="A7:A9"/>
    <mergeCell ref="A10:A21"/>
    <mergeCell ref="A23:A26"/>
    <mergeCell ref="C30:C33"/>
    <mergeCell ref="D30:D33"/>
    <mergeCell ref="E30:E33"/>
    <mergeCell ref="A30:B33"/>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D9" sqref="D9"/>
    </sheetView>
  </sheetViews>
  <sheetFormatPr defaultColWidth="9" defaultRowHeight="14.25" outlineLevelCol="7"/>
  <cols>
    <col min="1" max="8" width="13.3833333333333" customWidth="1"/>
  </cols>
  <sheetData>
    <row r="1" ht="22" customHeight="1" spans="1:8">
      <c r="A1" s="1" t="s">
        <v>1321</v>
      </c>
      <c r="B1" s="2" t="s">
        <v>1322</v>
      </c>
      <c r="C1" s="2" t="s">
        <v>1323</v>
      </c>
      <c r="D1" s="2" t="s">
        <v>1324</v>
      </c>
      <c r="E1" s="2" t="s">
        <v>1325</v>
      </c>
      <c r="F1" s="2" t="s">
        <v>1326</v>
      </c>
      <c r="G1" s="3" t="s">
        <v>1327</v>
      </c>
      <c r="H1" s="4" t="s">
        <v>676</v>
      </c>
    </row>
    <row r="2" ht="22" customHeight="1" spans="1:8">
      <c r="A2" s="5" t="s">
        <v>674</v>
      </c>
      <c r="B2" s="6" t="s">
        <v>680</v>
      </c>
      <c r="C2" s="6"/>
      <c r="D2" s="6"/>
      <c r="E2" s="6">
        <v>20</v>
      </c>
      <c r="F2" s="6"/>
      <c r="G2" s="7"/>
      <c r="H2" s="8">
        <f t="shared" ref="H2:H11" si="0">SUM(C2:G2)</f>
        <v>20</v>
      </c>
    </row>
    <row r="3" ht="22" customHeight="1" spans="1:8">
      <c r="A3" s="9"/>
      <c r="B3" s="6" t="s">
        <v>1260</v>
      </c>
      <c r="C3" s="6"/>
      <c r="D3" s="6"/>
      <c r="E3" s="6">
        <v>128</v>
      </c>
      <c r="F3" s="6"/>
      <c r="G3" s="7"/>
      <c r="H3" s="8">
        <f t="shared" si="0"/>
        <v>128</v>
      </c>
    </row>
    <row r="4" ht="22" customHeight="1" spans="1:8">
      <c r="A4" s="9"/>
      <c r="B4" s="6" t="s">
        <v>1259</v>
      </c>
      <c r="C4" s="6"/>
      <c r="D4" s="6"/>
      <c r="E4" s="6">
        <v>103</v>
      </c>
      <c r="F4" s="6"/>
      <c r="G4" s="7"/>
      <c r="H4" s="8">
        <f t="shared" si="0"/>
        <v>103</v>
      </c>
    </row>
    <row r="5" ht="22" customHeight="1" spans="1:8">
      <c r="A5" s="9"/>
      <c r="B5" s="6" t="s">
        <v>1258</v>
      </c>
      <c r="C5" s="6"/>
      <c r="D5" s="6">
        <v>107</v>
      </c>
      <c r="E5" s="6"/>
      <c r="F5" s="6"/>
      <c r="G5" s="7"/>
      <c r="H5" s="8">
        <f t="shared" si="0"/>
        <v>107</v>
      </c>
    </row>
    <row r="6" ht="22" customHeight="1" spans="1:8">
      <c r="A6" s="9"/>
      <c r="B6" s="6" t="s">
        <v>1261</v>
      </c>
      <c r="C6" s="6"/>
      <c r="D6" s="6">
        <v>67</v>
      </c>
      <c r="E6" s="6"/>
      <c r="F6" s="6"/>
      <c r="G6" s="7"/>
      <c r="H6" s="8">
        <f t="shared" si="0"/>
        <v>67</v>
      </c>
    </row>
    <row r="7" ht="22" customHeight="1" spans="1:8">
      <c r="A7" s="5" t="s">
        <v>675</v>
      </c>
      <c r="B7" s="6" t="s">
        <v>680</v>
      </c>
      <c r="C7" s="6"/>
      <c r="D7" s="6"/>
      <c r="E7" s="6">
        <v>116</v>
      </c>
      <c r="F7" s="6"/>
      <c r="G7" s="7"/>
      <c r="H7" s="8">
        <f t="shared" si="0"/>
        <v>116</v>
      </c>
    </row>
    <row r="8" ht="22" customHeight="1" spans="1:8">
      <c r="A8" s="9"/>
      <c r="B8" s="6" t="s">
        <v>1259</v>
      </c>
      <c r="C8" s="6"/>
      <c r="D8" s="6"/>
      <c r="E8" s="6">
        <v>21</v>
      </c>
      <c r="F8" s="6"/>
      <c r="G8" s="7"/>
      <c r="H8" s="8">
        <f t="shared" si="0"/>
        <v>21</v>
      </c>
    </row>
    <row r="9" ht="22" customHeight="1" spans="1:8">
      <c r="A9" s="9"/>
      <c r="B9" s="6" t="s">
        <v>1258</v>
      </c>
      <c r="C9" s="6"/>
      <c r="D9" s="6">
        <v>30</v>
      </c>
      <c r="E9" s="6"/>
      <c r="F9" s="6"/>
      <c r="G9" s="7"/>
      <c r="H9" s="8">
        <f t="shared" si="0"/>
        <v>30</v>
      </c>
    </row>
    <row r="10" ht="22" customHeight="1" spans="1:8">
      <c r="A10" s="10"/>
      <c r="B10" s="6" t="s">
        <v>1261</v>
      </c>
      <c r="C10" s="6"/>
      <c r="D10" s="6">
        <v>76</v>
      </c>
      <c r="E10" s="6"/>
      <c r="F10" s="6"/>
      <c r="G10" s="7"/>
      <c r="H10" s="8">
        <f t="shared" si="0"/>
        <v>76</v>
      </c>
    </row>
    <row r="11" ht="22" customHeight="1" spans="1:8">
      <c r="A11" s="11" t="s">
        <v>676</v>
      </c>
      <c r="B11" s="12"/>
      <c r="C11" s="12">
        <f t="shared" ref="C11:G11" si="1">SUM(C2:C10)</f>
        <v>0</v>
      </c>
      <c r="D11" s="12">
        <f t="shared" si="1"/>
        <v>280</v>
      </c>
      <c r="E11" s="12">
        <f t="shared" si="1"/>
        <v>388</v>
      </c>
      <c r="F11" s="12">
        <f t="shared" si="1"/>
        <v>0</v>
      </c>
      <c r="G11" s="13">
        <f t="shared" si="1"/>
        <v>0</v>
      </c>
      <c r="H11" s="14">
        <f t="shared" si="0"/>
        <v>668</v>
      </c>
    </row>
    <row r="12" ht="22" customHeight="1"/>
    <row r="13" ht="22" customHeight="1"/>
    <row r="14" ht="22" customHeight="1"/>
    <row r="15" ht="22" customHeight="1"/>
    <row r="16" ht="22" customHeight="1"/>
    <row r="17" ht="22" customHeight="1"/>
    <row r="18" ht="22" customHeight="1"/>
    <row r="19" ht="22" customHeight="1"/>
    <row r="20" ht="22" customHeight="1"/>
    <row r="21" ht="22" customHeight="1"/>
  </sheetData>
  <mergeCells count="2">
    <mergeCell ref="A2:A6"/>
    <mergeCell ref="A7:A1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12</vt:i4>
      </vt:variant>
    </vt:vector>
  </HeadingPairs>
  <TitlesOfParts>
    <vt:vector size="12" baseType="lpstr">
      <vt:lpstr>MxSim.MultiPhy多物理场耦合产品基线</vt:lpstr>
      <vt:lpstr>MxSim.Acoustic-声学仿真产品基线</vt:lpstr>
      <vt:lpstr>MxSim.Emag-电磁场产品基线</vt:lpstr>
      <vt:lpstr>版本历史记录</vt:lpstr>
      <vt:lpstr>产品工作难度评估</vt:lpstr>
      <vt:lpstr>2026Q1</vt:lpstr>
      <vt:lpstr>基线总计月份</vt:lpstr>
      <vt:lpstr>每月复核总表</vt:lpstr>
      <vt:lpstr>单人工作天数</vt:lpstr>
      <vt:lpstr>人工测算表</vt:lpstr>
      <vt:lpstr>项目预算表</vt:lpstr>
      <vt:lpstr>个人人天统计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chenfulin</dc:creator>
  <cp:lastModifiedBy>北城</cp:lastModifiedBy>
  <dcterms:created xsi:type="dcterms:W3CDTF">2023-04-10T01:54:00Z</dcterms:created>
  <dcterms:modified xsi:type="dcterms:W3CDTF">2026-03-20T07:08:06Z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EFFF2550D00143F3AA89CDD45A5522C6_13</vt:lpwstr>
  </property>
  <property fmtid="{D5CDD505-2E9C-101B-9397-08002B2CF9AE}" pid="3" name="KSOProductBuildVer">
    <vt:lpwstr>2052-12.1.0.20305</vt:lpwstr>
  </property>
  <property fmtid="{D5CDD505-2E9C-101B-9397-08002B2CF9AE}" pid="4" name="KSOReadingLayout">
    <vt:bool>true</vt:bool>
  </property>
  <property fmtid="{D5CDD505-2E9C-101B-9397-08002B2CF9AE}" pid="5" name="CalculationRule">
    <vt:i4>0</vt:i4>
  </property>
</Properties>
</file>